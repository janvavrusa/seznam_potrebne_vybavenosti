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 1" sheetId="1" r:id="rId1"/>
    <sheet name="Seřazený 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4"/>
  <sheetViews>
    <sheetView workbookViewId="0"/>
  </sheetViews>
  <cols>
    <col min="1" max="1" width="2.83203125" customWidth="1"/>
    <col min="2" max="2" width="7.83203125" customWidth="1"/>
    <col min="3" max="3" width="40.83203125" customWidth="1"/>
    <col min="4" max="4" width="18.83203125" customWidth="1"/>
    <col min="5" max="5" width="13.83203125" customWidth="1"/>
    <col min="6" max="6" width="20.83203125" customWidth="1"/>
    <col min="7" max="7" width="13.83203125" customWidth="1"/>
    <col min="8" max="8" width="15.83203125" customWidth="1"/>
    <col min="9" max="9" width="12.83203125" customWidth="1"/>
    <col min="10" max="10" width="10.83203125" customWidth="1"/>
    <col min="11" max="11" width="10.83203125" customWidth="1"/>
    <col min="12" max="12" width="13.83203125" customWidth="1"/>
    <col min="13" max="13" width="15.83203125" customWidth="1"/>
    <col min="14" max="14" width="3.83203125" customWidth="1"/>
    <col min="15" max="15" width="12.83203125" customWidth="1"/>
    <col min="16" max="16" width="40.83203125" customWidth="1"/>
    <col min="17" max="17" width="16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5.83203125" customWidth="1"/>
  </cols>
  <sheetData>
    <row r="4">
      <c r="A4" t="str">
        <v>field:id</v>
      </c>
      <c r="B4" t="str">
        <v>field:name</v>
      </c>
      <c r="C4" t="str">
        <v>field:cost</v>
      </c>
      <c r="D4" t="str">
        <v>field:score</v>
      </c>
      <c r="E4" t="str">
        <v>field:urgency</v>
      </c>
      <c r="F4" t="str">
        <v>field:preference</v>
      </c>
      <c r="G4" t="str">
        <v>field:city</v>
      </c>
      <c r="H4" t="str">
        <v>field:developers</v>
      </c>
      <c r="I4" t="str">
        <v>field:state</v>
      </c>
      <c r="J4" t="str">
        <v>field:eu</v>
      </c>
      <c r="K4" t="str">
        <v>field:region</v>
      </c>
      <c r="L4" t="str">
        <v>field:private</v>
      </c>
      <c r="M4" t="str">
        <v>field:selected</v>
      </c>
      <c r="N4" t="str">
        <v>weight:funding</v>
      </c>
    </row>
    <row r="5">
      <c r="A5" t="str">
        <v>integer</v>
      </c>
      <c r="B5" t="str">
        <v>text</v>
      </c>
      <c r="C5" t="str">
        <v>number</v>
      </c>
      <c r="D5" t="str">
        <v>number</v>
      </c>
      <c r="E5" t="str">
        <v>number</v>
      </c>
      <c r="F5" t="str">
        <v>number</v>
      </c>
      <c r="G5" t="str">
        <v>percent</v>
      </c>
      <c r="H5" t="str">
        <v>percent</v>
      </c>
      <c r="I5" t="str">
        <v>percent</v>
      </c>
      <c r="J5" t="str">
        <v>percent</v>
      </c>
      <c r="K5" t="str">
        <v>percent</v>
      </c>
      <c r="L5" t="str">
        <v>percent</v>
      </c>
      <c r="M5" t="str">
        <v>boolean</v>
      </c>
      <c r="N5" t="str">
        <v>number</v>
      </c>
    </row>
    <row r="6">
      <c r="A6" t="str">
        <v>identifier</v>
      </c>
      <c r="B6" t="str">
        <v>identifier</v>
      </c>
      <c r="C6" t="str">
        <v>cost</v>
      </c>
      <c r="D6" t="str">
        <v>calculated-score</v>
      </c>
      <c r="E6" t="str">
        <v>urgency</v>
      </c>
      <c r="F6" t="str">
        <v>preference</v>
      </c>
      <c r="G6" t="str">
        <v>funding-share</v>
      </c>
      <c r="H6" t="str">
        <v>funding-share</v>
      </c>
      <c r="I6" t="str">
        <v>funding-share</v>
      </c>
      <c r="J6" t="str">
        <v>funding-share</v>
      </c>
      <c r="K6" t="str">
        <v>funding-share</v>
      </c>
      <c r="L6" t="str">
        <v>funding-share</v>
      </c>
      <c r="M6" t="str">
        <v>selection-filter</v>
      </c>
      <c r="N6" t="str">
        <v>funding-burden</v>
      </c>
    </row>
    <row r="7">
      <c r="A7" t="str">
        <v>ID</v>
      </c>
      <c r="B7" t="str">
        <v>Název položky</v>
      </c>
      <c r="C7" t="str">
        <v>Finanční náročnost celková RTS</v>
      </c>
      <c r="D7" t="str">
        <v>Index Kamechy</v>
      </c>
      <c r="E7" t="str">
        <v>Naléhavost (legislativní a plánovací)</v>
      </c>
      <c r="F7" t="str">
        <v>Preference respondentů</v>
      </c>
      <c r="G7" t="str">
        <v>Město [%]</v>
      </c>
      <c r="H7" t="str">
        <v>Developeři [%]</v>
      </c>
      <c r="I7" t="str">
        <v>Stát [%]</v>
      </c>
      <c r="J7" t="str">
        <v>EU [%]</v>
      </c>
      <c r="K7" t="str">
        <v>Kraj [%]</v>
      </c>
      <c r="L7" t="str">
        <v>Soukromí [%]</v>
      </c>
      <c r="M7" t="str">
        <v>Zařadit do výpočtu</v>
      </c>
      <c r="N7" t="str">
        <v>Celková váha nevyrovnané finanční zátěže</v>
      </c>
    </row>
    <row r="8">
      <c r="A8">
        <v>1</v>
      </c>
      <c r="B8" t="str">
        <v>Dětská hřiště</v>
      </c>
      <c r="C8">
        <v>16800000</v>
      </c>
      <c r="D8">
        <f>$C$30*C8/SUM($C$8:$C$28)+$E$30*E8/5+$F$30*F8/COUNT($F$8:$F$28)+($N$30/5)*(IF($G$30=0,0,IF($G$30=5,0,ABS($G$30-G8/10)))+IF($H$30=0,0,IF($H$30=5,0,ABS($H$30-H8/10)))+IF($I$30=0,0,IF($I$30=5,0,ABS($I$30-I8/10)))+IF($J$30=0,0,IF($J$30=5,0,ABS($J$30-J8/10)))+IF($K$30=0,0,IF($K$30=5,0,ABS($K$30-K8/10)))+IF($L$30=0,0,IF($L$30=5,0,ABS($L$30-L8/10))))</f>
        <v>1.2525626731951913</v>
      </c>
      <c r="E8">
        <v>2</v>
      </c>
      <c r="F8">
        <v>3</v>
      </c>
      <c r="G8">
        <v>25</v>
      </c>
      <c r="H8">
        <v>60</v>
      </c>
      <c r="I8">
        <v>10</v>
      </c>
      <c r="J8">
        <v>0</v>
      </c>
      <c r="K8">
        <v>0</v>
      </c>
      <c r="L8">
        <v>0</v>
      </c>
      <c r="M8">
        <v>1</v>
      </c>
    </row>
    <row r="9">
      <c r="A9">
        <v>2</v>
      </c>
      <c r="B9" t="str">
        <v>Dům s pečovatelskou službou</v>
      </c>
      <c r="C9">
        <v>294560000</v>
      </c>
      <c r="D9">
        <f>$C$30*C9/SUM($C$8:$C$28)+$E$30*E9/5+$F$30*F9/COUNT($F$8:$F$28)+($N$30/5)*(IF($G$30=0,0,IF($G$30=5,0,ABS($G$30-G9/10)))+IF($H$30=0,0,IF($H$30=5,0,ABS($H$30-H9/10)))+IF($I$30=0,0,IF($I$30=5,0,ABS($I$30-I9/10)))+IF($J$30=0,0,IF($J$30=5,0,ABS($J$30-J9/10)))+IF($K$30=0,0,IF($K$30=5,0,ABS($K$30-K9/10)))+IF($L$30=0,0,IF($L$30=5,0,ABS($L$30-L9/10))))</f>
        <v>4.792075060498542</v>
      </c>
      <c r="E9">
        <v>5</v>
      </c>
      <c r="F9">
        <v>18</v>
      </c>
      <c r="G9">
        <v>25</v>
      </c>
      <c r="H9">
        <v>10</v>
      </c>
      <c r="I9">
        <v>25</v>
      </c>
      <c r="J9">
        <v>25</v>
      </c>
      <c r="K9">
        <v>15</v>
      </c>
      <c r="L9">
        <v>0</v>
      </c>
      <c r="M9">
        <v>1</v>
      </c>
    </row>
    <row r="10">
      <c r="A10">
        <v>3</v>
      </c>
      <c r="B10" t="str">
        <v>Výjezdové centrum Hasičů a IZS</v>
      </c>
      <c r="C10">
        <v>134125000</v>
      </c>
      <c r="D10">
        <f>$C$30*C10/SUM($C$8:$C$28)+$E$30*E10/5+$F$30*F10/COUNT($F$8:$F$28)+($N$30/5)*(IF($G$30=0,0,IF($G$30=5,0,ABS($G$30-G10/10)))+IF($H$30=0,0,IF($H$30=5,0,ABS($H$30-H10/10)))+IF($I$30=0,0,IF($I$30=5,0,ABS($I$30-I10/10)))+IF($J$30=0,0,IF($J$30=5,0,ABS($J$30-J10/10)))+IF($K$30=0,0,IF($K$30=5,0,ABS($K$30-K10/10)))+IF($L$30=0,0,IF($L$30=5,0,ABS($L$30-L10/10))))</f>
        <v>3.1915372431644142</v>
      </c>
      <c r="E10">
        <v>1</v>
      </c>
      <c r="F10">
        <v>7</v>
      </c>
      <c r="G10">
        <v>20</v>
      </c>
      <c r="H10">
        <v>0</v>
      </c>
      <c r="I10">
        <v>40</v>
      </c>
      <c r="J10">
        <v>35</v>
      </c>
      <c r="K10">
        <v>15</v>
      </c>
      <c r="L10">
        <v>0</v>
      </c>
      <c r="M10">
        <v>1</v>
      </c>
    </row>
    <row r="11">
      <c r="A11">
        <v>4</v>
      </c>
      <c r="B11" t="str">
        <v>Komunitní centrum se sálem</v>
      </c>
      <c r="C11">
        <v>47232000</v>
      </c>
      <c r="D11">
        <f>$C$30*C11/SUM($C$8:$C$28)+$E$30*E11/5+$F$30*F11/COUNT($F$8:$F$28)+($N$30/5)*(IF($G$30=0,0,IF($G$30=5,0,ABS($G$30-G11/10)))+IF($H$30=0,0,IF($H$30=5,0,ABS($H$30-H11/10)))+IF($I$30=0,0,IF($I$30=5,0,ABS($I$30-I11/10)))+IF($J$30=0,0,IF($J$30=5,0,ABS($J$30-J11/10)))+IF($K$30=0,0,IF($K$30=5,0,ABS($K$30-K11/10)))+IF($L$30=0,0,IF($L$30=5,0,ABS($L$30-L11/10))))</f>
        <v>3.096021099170807</v>
      </c>
      <c r="E11">
        <v>3</v>
      </c>
      <c r="F11">
        <v>10</v>
      </c>
      <c r="G11">
        <v>0</v>
      </c>
      <c r="H11">
        <v>20</v>
      </c>
      <c r="I11">
        <v>10</v>
      </c>
      <c r="J11">
        <v>30</v>
      </c>
      <c r="K11">
        <v>0</v>
      </c>
      <c r="L11">
        <v>0</v>
      </c>
      <c r="M11">
        <v>1</v>
      </c>
    </row>
    <row r="12">
      <c r="A12">
        <v>5</v>
      </c>
      <c r="B12" t="str">
        <v>Krytá sportovní hala</v>
      </c>
      <c r="C12">
        <v>114840000</v>
      </c>
      <c r="D12">
        <f>$C$30*C12/SUM($C$8:$C$28)+$E$30*E12/5+$F$30*F12/COUNT($F$8:$F$28)+($N$30/5)*(IF($G$30=0,0,IF($G$30=5,0,ABS($G$30-G12/10)))+IF($H$30=0,0,IF($H$30=5,0,ABS($H$30-H12/10)))+IF($I$30=0,0,IF($I$30=5,0,ABS($I$30-I12/10)))+IF($J$30=0,0,IF($J$30=5,0,ABS($J$30-J12/10)))+IF($K$30=0,0,IF($K$30=5,0,ABS($K$30-K12/10)))+IF($L$30=0,0,IF($L$30=5,0,ABS($L$30-L12/10))))</f>
        <v>3.4782830078924345</v>
      </c>
      <c r="E12">
        <v>2</v>
      </c>
      <c r="F12">
        <v>12</v>
      </c>
      <c r="G12">
        <v>20</v>
      </c>
      <c r="H12">
        <v>20</v>
      </c>
      <c r="I12">
        <v>30</v>
      </c>
      <c r="J12">
        <v>0</v>
      </c>
      <c r="K12">
        <v>15</v>
      </c>
      <c r="L12">
        <v>0</v>
      </c>
      <c r="M12">
        <v>1</v>
      </c>
    </row>
    <row r="13">
      <c r="A13">
        <v>6</v>
      </c>
      <c r="B13" t="str">
        <v>Lékárna</v>
      </c>
      <c r="C13">
        <v>8187000</v>
      </c>
      <c r="D13">
        <f>$C$30*C13/SUM($C$8:$C$28)+$E$30*E13/5+$F$30*F13/COUNT($F$8:$F$28)+($N$30/5)*(IF($G$30=0,0,IF($G$30=5,0,ABS($G$30-G13/10)))+IF($H$30=0,0,IF($H$30=5,0,ABS($H$30-H13/10)))+IF($I$30=0,0,IF($I$30=5,0,ABS($I$30-I13/10)))+IF($J$30=0,0,IF($J$30=5,0,ABS($J$30-J13/10)))+IF($K$30=0,0,IF($K$30=5,0,ABS($K$30-K13/10)))+IF($L$30=0,0,IF($L$30=5,0,ABS($L$30-L13/10))))</f>
        <v>3.5831200190318304</v>
      </c>
      <c r="E13">
        <v>1</v>
      </c>
      <c r="F13">
        <v>11</v>
      </c>
      <c r="G13">
        <v>35</v>
      </c>
      <c r="H13">
        <v>0</v>
      </c>
      <c r="I13">
        <v>0</v>
      </c>
      <c r="J13">
        <v>0</v>
      </c>
      <c r="K13">
        <v>0</v>
      </c>
      <c r="L13">
        <v>100</v>
      </c>
      <c r="M13">
        <v>1</v>
      </c>
    </row>
    <row r="14">
      <c r="A14">
        <v>7</v>
      </c>
      <c r="B14" t="str">
        <v>Maloobchod potraviny</v>
      </c>
      <c r="C14">
        <v>14821875</v>
      </c>
      <c r="D14">
        <f>$C$30*C14/SUM($C$8:$C$28)+$E$30*E14/5+$F$30*F14/COUNT($F$8:$F$28)+($N$30/5)*(IF($G$30=0,0,IF($G$30=5,0,ABS($G$30-G14/10)))+IF($H$30=0,0,IF($H$30=5,0,ABS($H$30-H14/10)))+IF($I$30=0,0,IF($I$30=5,0,ABS($I$30-I14/10)))+IF($J$30=0,0,IF($J$30=5,0,ABS($J$30-J14/10)))+IF($K$30=0,0,IF($K$30=5,0,ABS($K$30-K14/10)))+IF($L$30=0,0,IF($L$30=5,0,ABS($L$30-L14/10))))</f>
        <v>4.021166382673085</v>
      </c>
      <c r="E14">
        <v>2</v>
      </c>
      <c r="F14">
        <v>14</v>
      </c>
      <c r="G14">
        <v>20</v>
      </c>
      <c r="H14">
        <v>0</v>
      </c>
      <c r="I14">
        <v>0</v>
      </c>
      <c r="J14">
        <v>0</v>
      </c>
      <c r="K14">
        <v>0</v>
      </c>
      <c r="L14">
        <v>100</v>
      </c>
      <c r="M14">
        <v>1</v>
      </c>
    </row>
    <row r="15">
      <c r="A15">
        <v>8</v>
      </c>
      <c r="B15" t="str">
        <v>Mateřská škola</v>
      </c>
      <c r="C15">
        <v>202123200</v>
      </c>
      <c r="D15">
        <f>$C$30*C15/SUM($C$8:$C$28)+$E$30*E15/5+$F$30*F15/COUNT($F$8:$F$28)+($N$30/5)*(IF($G$30=0,0,IF($G$30=5,0,ABS($G$30-G15/10)))+IF($H$30=0,0,IF($H$30=5,0,ABS($H$30-H15/10)))+IF($I$30=0,0,IF($I$30=5,0,ABS($I$30-I15/10)))+IF($J$30=0,0,IF($J$30=5,0,ABS($J$30-J15/10)))+IF($K$30=0,0,IF($K$30=5,0,ABS($K$30-K15/10)))+IF($L$30=0,0,IF($L$30=5,0,ABS($L$30-L15/10))))</f>
        <v>2.974356377103434</v>
      </c>
      <c r="E15">
        <v>2</v>
      </c>
      <c r="F15">
        <v>9</v>
      </c>
      <c r="G15">
        <v>0</v>
      </c>
      <c r="H15">
        <v>30</v>
      </c>
      <c r="I15">
        <v>15</v>
      </c>
      <c r="J15">
        <v>30</v>
      </c>
      <c r="K15">
        <v>0</v>
      </c>
      <c r="L15">
        <v>0</v>
      </c>
      <c r="M15">
        <v>1</v>
      </c>
    </row>
    <row r="16">
      <c r="A16">
        <v>9</v>
      </c>
      <c r="B16" t="str">
        <v>Městská knihovna</v>
      </c>
      <c r="C16">
        <v>30110400</v>
      </c>
      <c r="D16">
        <f>$C$30*C16/SUM($C$8:$C$28)+$E$30*E16/5+$F$30*F16/COUNT($F$8:$F$28)+($N$30/5)*(IF($G$30=0,0,IF($G$30=5,0,ABS($G$30-G16/10)))+IF($H$30=0,0,IF($H$30=5,0,ABS($H$30-H16/10)))+IF($I$30=0,0,IF($I$30=5,0,ABS($I$30-I16/10)))+IF($J$30=0,0,IF($J$30=5,0,ABS($J$30-J16/10)))+IF($K$30=0,0,IF($K$30=5,0,ABS($K$30-K16/10)))+IF($L$30=0,0,IF($L$30=5,0,ABS($L$30-L16/10))))</f>
        <v>3.500142022149961</v>
      </c>
      <c r="E16">
        <v>3</v>
      </c>
      <c r="F16">
        <v>13</v>
      </c>
      <c r="G16">
        <v>15</v>
      </c>
      <c r="H16">
        <v>20</v>
      </c>
      <c r="I16">
        <v>0</v>
      </c>
      <c r="J16">
        <v>20</v>
      </c>
      <c r="K16">
        <v>0</v>
      </c>
      <c r="L16">
        <v>0</v>
      </c>
      <c r="M16">
        <v>1</v>
      </c>
    </row>
    <row r="17">
      <c r="A17">
        <v>10</v>
      </c>
      <c r="B17" t="str">
        <v>Retence Modrozelená infrastruktura</v>
      </c>
      <c r="C17">
        <v>3515400</v>
      </c>
      <c r="D17">
        <f>$C$30*C17/SUM($C$8:$C$28)+$E$30*E17/5+$F$30*F17/COUNT($F$8:$F$28)+($N$30/5)*(IF($G$30=0,0,IF($G$30=5,0,ABS($G$30-G17/10)))+IF($H$30=0,0,IF($H$30=5,0,ABS($H$30-H17/10)))+IF($I$30=0,0,IF($I$30=5,0,ABS($I$30-I17/10)))+IF($J$30=0,0,IF($J$30=5,0,ABS($J$30-J17/10)))+IF($K$30=0,0,IF($K$30=5,0,ABS($K$30-K17/10)))+IF($L$30=0,0,IF($L$30=5,0,ABS($L$30-L17/10))))</f>
        <v>2.147877310794665</v>
      </c>
      <c r="E17">
        <v>1</v>
      </c>
      <c r="F17">
        <v>8</v>
      </c>
      <c r="G17">
        <v>10</v>
      </c>
      <c r="H17">
        <v>50</v>
      </c>
      <c r="I17">
        <v>5</v>
      </c>
      <c r="J17">
        <v>35</v>
      </c>
      <c r="K17">
        <v>0</v>
      </c>
      <c r="L17">
        <v>0</v>
      </c>
      <c r="M17">
        <v>1</v>
      </c>
    </row>
    <row r="18">
      <c r="A18">
        <v>11</v>
      </c>
      <c r="B18" t="str">
        <v>Objekt veřejných soc. zařízení</v>
      </c>
      <c r="C18">
        <v>394740000</v>
      </c>
      <c r="D18">
        <f>$C$30*C18/SUM($C$8:$C$28)+$E$30*E18/5+$F$30*F18/COUNT($F$8:$F$28)+($N$30/5)*(IF($G$30=0,0,IF($G$30=5,0,ABS($G$30-G18/10)))+IF($H$30=0,0,IF($H$30=5,0,ABS($H$30-H18/10)))+IF($I$30=0,0,IF($I$30=5,0,ABS($I$30-I18/10)))+IF($J$30=0,0,IF($J$30=5,0,ABS($J$30-J18/10)))+IF($K$30=0,0,IF($K$30=5,0,ABS($K$30-K18/10)))+IF($L$30=0,0,IF($L$30=5,0,ABS($L$30-L18/10))))</f>
        <v>2.877994279927622</v>
      </c>
      <c r="E18">
        <v>5</v>
      </c>
      <c r="F18">
        <v>5</v>
      </c>
      <c r="G18">
        <v>20</v>
      </c>
      <c r="H18">
        <v>20</v>
      </c>
      <c r="I18">
        <v>20</v>
      </c>
      <c r="J18">
        <v>30</v>
      </c>
      <c r="K18">
        <v>0</v>
      </c>
      <c r="L18">
        <v>0</v>
      </c>
      <c r="M18">
        <v>1</v>
      </c>
    </row>
    <row r="19">
      <c r="A19">
        <v>12</v>
      </c>
      <c r="B19" t="str">
        <v>Okrsková služebna policie</v>
      </c>
      <c r="C19">
        <v>12255000</v>
      </c>
      <c r="D19">
        <f>$C$30*C19/SUM($C$8:$C$28)+$E$30*E19/5+$F$30*F19/COUNT($F$8:$F$28)+($N$30/5)*(IF($G$30=0,0,IF($G$30=5,0,ABS($G$30-G19/10)))+IF($H$30=0,0,IF($H$30=5,0,ABS($H$30-H19/10)))+IF($I$30=0,0,IF($I$30=5,0,ABS($I$30-I19/10)))+IF($J$30=0,0,IF($J$30=5,0,ABS($J$30-J19/10)))+IF($K$30=0,0,IF($K$30=5,0,ABS($K$30-K19/10)))+IF($L$30=0,0,IF($L$30=5,0,ABS($L$30-L19/10))))</f>
        <v>4.731786470408585</v>
      </c>
      <c r="E19">
        <v>1</v>
      </c>
      <c r="F19">
        <v>19</v>
      </c>
      <c r="G19">
        <v>40</v>
      </c>
      <c r="H19">
        <v>0</v>
      </c>
      <c r="I19">
        <v>80</v>
      </c>
      <c r="J19">
        <v>0</v>
      </c>
      <c r="K19">
        <v>0</v>
      </c>
      <c r="L19">
        <v>0</v>
      </c>
      <c r="M19">
        <v>1</v>
      </c>
    </row>
    <row r="20">
      <c r="A20">
        <v>13</v>
      </c>
      <c r="B20" t="str">
        <v>Parkování</v>
      </c>
      <c r="C20">
        <v>215000000</v>
      </c>
      <c r="D20">
        <f>$C$30*C20/SUM($C$8:$C$28)+$E$30*E20/5+$F$30*F20/COUNT($F$8:$F$28)+($N$30/5)*(IF($G$30=0,0,IF($G$30=5,0,ABS($G$30-G20/10)))+IF($H$30=0,0,IF($H$30=5,0,ABS($H$30-H20/10)))+IF($I$30=0,0,IF($I$30=5,0,ABS($I$30-I20/10)))+IF($J$30=0,0,IF($J$30=5,0,ABS($J$30-J20/10)))+IF($K$30=0,0,IF($K$30=5,0,ABS($K$30-K20/10)))+IF($L$30=0,0,IF($L$30=5,0,ABS($L$30-L20/10))))</f>
        <v>2.949887952030295</v>
      </c>
      <c r="E20">
        <v>3</v>
      </c>
      <c r="F20">
        <v>15</v>
      </c>
      <c r="G20">
        <v>25</v>
      </c>
      <c r="H20">
        <v>75</v>
      </c>
      <c r="I20">
        <v>0</v>
      </c>
      <c r="J20">
        <v>5</v>
      </c>
      <c r="K20">
        <v>0</v>
      </c>
      <c r="L20">
        <v>5</v>
      </c>
      <c r="M20">
        <v>1</v>
      </c>
    </row>
    <row r="21">
      <c r="A21">
        <v>14</v>
      </c>
      <c r="B21" t="str">
        <v>Podzemní kontejnery</v>
      </c>
      <c r="C21">
        <v>25200000</v>
      </c>
      <c r="D21">
        <f>$C$30*C21/SUM($C$8:$C$28)+$E$30*E21/5+$F$30*F21/COUNT($F$8:$F$28)+($N$30/5)*(IF($G$30=0,0,IF($G$30=5,0,ABS($G$30-G21/10)))+IF($H$30=0,0,IF($H$30=5,0,ABS($H$30-H21/10)))+IF($I$30=0,0,IF($I$30=5,0,ABS($I$30-I21/10)))+IF($J$30=0,0,IF($J$30=5,0,ABS($J$30-J21/10)))+IF($K$30=0,0,IF($K$30=5,0,ABS($K$30-K21/10)))+IF($L$30=0,0,IF($L$30=5,0,ABS($L$30-L21/10))))</f>
        <v>1.893129724078501</v>
      </c>
      <c r="E21">
        <v>2.5</v>
      </c>
      <c r="F21">
        <v>6</v>
      </c>
      <c r="G21">
        <v>15</v>
      </c>
      <c r="H21">
        <v>50</v>
      </c>
      <c r="I21">
        <v>0</v>
      </c>
      <c r="J21">
        <v>35</v>
      </c>
      <c r="K21">
        <v>0</v>
      </c>
      <c r="L21">
        <v>0</v>
      </c>
      <c r="M21">
        <v>1</v>
      </c>
    </row>
    <row r="22">
      <c r="A22">
        <v>15</v>
      </c>
      <c r="B22" t="str">
        <v>Poliklinika</v>
      </c>
      <c r="C22">
        <v>54580000</v>
      </c>
      <c r="D22">
        <f>$C$30*C22/SUM($C$8:$C$28)+$E$30*E22/5+$F$30*F22/COUNT($F$8:$F$28)+($N$30/5)*(IF($G$30=0,0,IF($G$30=5,0,ABS($G$30-G22/10)))+IF($H$30=0,0,IF($H$30=5,0,ABS($H$30-H22/10)))+IF($I$30=0,0,IF($I$30=5,0,ABS($I$30-I22/10)))+IF($J$30=0,0,IF($J$30=5,0,ABS($J$30-J22/10)))+IF($K$30=0,0,IF($K$30=5,0,ABS($K$30-K22/10)))+IF($L$30=0,0,IF($L$30=5,0,ABS($L$30-L22/10))))</f>
        <v>4.73508584116458</v>
      </c>
      <c r="E22">
        <v>1</v>
      </c>
      <c r="F22">
        <v>20</v>
      </c>
      <c r="G22">
        <v>40</v>
      </c>
      <c r="H22">
        <v>10</v>
      </c>
      <c r="I22">
        <v>0</v>
      </c>
      <c r="J22">
        <v>0</v>
      </c>
      <c r="K22">
        <v>10</v>
      </c>
      <c r="L22">
        <v>60</v>
      </c>
      <c r="M22">
        <v>1</v>
      </c>
    </row>
    <row r="23">
      <c r="A23">
        <v>16</v>
      </c>
      <c r="B23" t="str">
        <v>Pošta</v>
      </c>
      <c r="C23">
        <v>7353000</v>
      </c>
      <c r="D23">
        <f>$C$30*C23/SUM($C$8:$C$28)+$E$30*E23/5+$F$30*F23/COUNT($F$8:$F$28)+($N$30/5)*(IF($G$30=0,0,IF($G$30=5,0,ABS($G$30-G23/10)))+IF($H$30=0,0,IF($H$30=5,0,ABS($H$30-H23/10)))+IF($I$30=0,0,IF($I$30=5,0,ABS($I$30-I23/10)))+IF($J$30=0,0,IF($J$30=5,0,ABS($J$30-J23/10)))+IF($K$30=0,0,IF($K$30=5,0,ABS($K$30-K23/10)))+IF($L$30=0,0,IF($L$30=5,0,ABS($L$30-L23/10))))</f>
        <v>3.8390718822451504</v>
      </c>
      <c r="E23">
        <v>1</v>
      </c>
      <c r="F23">
        <v>17</v>
      </c>
      <c r="G23">
        <v>20</v>
      </c>
      <c r="H23">
        <v>30</v>
      </c>
      <c r="I23">
        <v>50</v>
      </c>
      <c r="J23">
        <v>0</v>
      </c>
      <c r="K23">
        <v>0</v>
      </c>
      <c r="L23">
        <v>0</v>
      </c>
      <c r="M23">
        <v>1</v>
      </c>
    </row>
    <row r="24">
      <c r="A24">
        <v>17</v>
      </c>
      <c r="B24" t="str">
        <v>Sběrný dvůr</v>
      </c>
      <c r="C24">
        <v>5160000</v>
      </c>
      <c r="D24">
        <f>$C$30*C24/SUM($C$8:$C$28)+$E$30*E24/5+$F$30*F24/COUNT($F$8:$F$28)+($N$30/5)*(IF($G$30=0,0,IF($G$30=5,0,ABS($G$30-G24/10)))+IF($H$30=0,0,IF($H$30=5,0,ABS($H$30-H24/10)))+IF($I$30=0,0,IF($I$30=5,0,ABS($I$30-I24/10)))+IF($J$30=0,0,IF($J$30=5,0,ABS($J$30-J24/10)))+IF($K$30=0,0,IF($K$30=5,0,ABS($K$30-K24/10)))+IF($L$30=0,0,IF($L$30=5,0,ABS($L$30-L24/10))))</f>
        <v>4.293083025134441</v>
      </c>
      <c r="E24">
        <v>1</v>
      </c>
      <c r="F24">
        <v>16</v>
      </c>
      <c r="G24">
        <v>60</v>
      </c>
      <c r="H24">
        <v>0</v>
      </c>
      <c r="I24">
        <v>10</v>
      </c>
      <c r="J24">
        <v>50</v>
      </c>
      <c r="K24">
        <v>0</v>
      </c>
      <c r="L24">
        <v>0</v>
      </c>
      <c r="M24">
        <v>1</v>
      </c>
    </row>
    <row r="25">
      <c r="A25">
        <v>18</v>
      </c>
      <c r="B25" t="str">
        <v>Terminál MHD</v>
      </c>
      <c r="C25">
        <v>21088500</v>
      </c>
      <c r="D25">
        <f>$C$30*C25/SUM($C$8:$C$28)+$E$30*E25/5+$F$30*F25/COUNT($F$8:$F$28)+($N$30/5)*(IF($G$30=0,0,IF($G$30=5,0,ABS($G$30-G25/10)))+IF($H$30=0,0,IF($H$30=5,0,ABS($H$30-H25/10)))+IF($I$30=0,0,IF($I$30=5,0,ABS($I$30-I25/10)))+IF($J$30=0,0,IF($J$30=5,0,ABS($J$30-J25/10)))+IF($K$30=0,0,IF($K$30=5,0,ABS($K$30-K25/10)))+IF($L$30=0,0,IF($L$30=5,0,ABS($L$30-L25/10))))</f>
        <v>1.9729725810862035</v>
      </c>
      <c r="E25">
        <v>1</v>
      </c>
      <c r="F25">
        <v>1</v>
      </c>
      <c r="G25">
        <v>80</v>
      </c>
      <c r="H25">
        <v>10</v>
      </c>
      <c r="I25">
        <v>15</v>
      </c>
      <c r="J25">
        <v>50</v>
      </c>
      <c r="K25">
        <v>5</v>
      </c>
      <c r="L25">
        <v>0</v>
      </c>
      <c r="M25">
        <v>1</v>
      </c>
    </row>
    <row r="26">
      <c r="A26">
        <v>19</v>
      </c>
      <c r="B26" t="str">
        <v>Veřejná pobytová zeleň</v>
      </c>
      <c r="C26">
        <v>51000000</v>
      </c>
      <c r="D26">
        <f>$C$30*C26/SUM($C$8:$C$28)+$E$30*E26/5+$F$30*F26/COUNT($F$8:$F$28)+($N$30/5)*(IF($G$30=0,0,IF($G$30=5,0,ABS($G$30-G26/10)))+IF($H$30=0,0,IF($H$30=5,0,ABS($H$30-H26/10)))+IF($I$30=0,0,IF($I$30=5,0,ABS($I$30-I26/10)))+IF($J$30=0,0,IF($J$30=5,0,ABS($J$30-J26/10)))+IF($K$30=0,0,IF($K$30=5,0,ABS($K$30-K26/10)))+IF($L$30=0,0,IF($L$30=5,0,ABS($L$30-L26/10))))</f>
        <v>1.558544849750708</v>
      </c>
      <c r="E26">
        <v>3</v>
      </c>
      <c r="F26">
        <v>2</v>
      </c>
      <c r="G26">
        <v>30</v>
      </c>
      <c r="H26">
        <v>40</v>
      </c>
      <c r="I26">
        <v>10</v>
      </c>
      <c r="J26">
        <v>30</v>
      </c>
      <c r="K26">
        <v>0</v>
      </c>
      <c r="L26">
        <v>0</v>
      </c>
      <c r="M26">
        <v>1</v>
      </c>
    </row>
    <row r="27">
      <c r="A27">
        <v>20</v>
      </c>
      <c r="B27" t="str">
        <v>Základní škola</v>
      </c>
      <c r="C27">
        <v>421090000</v>
      </c>
      <c r="D27">
        <f>$C$30*C27/SUM($C$8:$C$28)+$E$30*E27/5+$F$30*F27/COUNT($F$8:$F$28)+($N$30/5)*(IF($G$30=0,0,IF($G$30=5,0,ABS($G$30-G27/10)))+IF($H$30=0,0,IF($H$30=5,0,ABS($H$30-H27/10)))+IF($I$30=0,0,IF($I$30=5,0,ABS($I$30-I27/10)))+IF($J$30=0,0,IF($J$30=5,0,ABS($J$30-J27/10)))+IF($K$30=0,0,IF($K$30=5,0,ABS($K$30-K27/10)))+IF($L$30=0,0,IF($L$30=5,0,ABS($L$30-L27/10))))</f>
        <v>2.6727662618226304</v>
      </c>
      <c r="E27">
        <v>3</v>
      </c>
      <c r="F27">
        <v>4</v>
      </c>
      <c r="G27">
        <v>10</v>
      </c>
      <c r="H27">
        <v>25</v>
      </c>
      <c r="I27">
        <v>30</v>
      </c>
      <c r="J27">
        <v>20</v>
      </c>
      <c r="K27">
        <v>0</v>
      </c>
      <c r="L27">
        <v>0</v>
      </c>
      <c r="M27">
        <v>1</v>
      </c>
    </row>
    <row r="28">
      <c r="A28">
        <v>21</v>
      </c>
      <c r="B28" t="str">
        <v>Zázemí technických služeb</v>
      </c>
      <c r="C28">
        <v>26985000</v>
      </c>
      <c r="D28">
        <f>$C$30*C28/SUM($C$8:$C$28)+$E$30*E28/5+$F$30*F28/COUNT($F$8:$F$28)+($N$30/5)*(IF($G$30=0,0,IF($G$30=5,0,ABS($G$30-G28/10)))+IF($H$30=0,0,IF($H$30=5,0,ABS($H$30-H28/10)))+IF($I$30=0,0,IF($I$30=5,0,ABS($I$30-I28/10)))+IF($J$30=0,0,IF($J$30=5,0,ABS($J$30-J28/10)))+IF($K$30=0,0,IF($K$30=5,0,ABS($K$30-K28/10)))+IF($L$30=0,0,IF($L$30=5,0,ABS($L$30-L28/10))))</f>
        <v>3.067107365248347</v>
      </c>
      <c r="E28">
        <v>1</v>
      </c>
      <c r="F28">
        <v>10</v>
      </c>
      <c r="G28">
        <v>30</v>
      </c>
      <c r="H28">
        <v>20</v>
      </c>
      <c r="I28">
        <v>0</v>
      </c>
      <c r="J28">
        <v>0</v>
      </c>
      <c r="K28">
        <v>0</v>
      </c>
      <c r="L28">
        <v>0</v>
      </c>
      <c r="M28">
        <v>1</v>
      </c>
    </row>
    <row r="30">
      <c r="B30" t="str">
        <v>koeficienty vážení položek (0-10)</v>
      </c>
      <c r="C30">
        <v>3</v>
      </c>
      <c r="E30">
        <v>0</v>
      </c>
      <c r="F30">
        <v>3</v>
      </c>
      <c r="G30">
        <v>5</v>
      </c>
      <c r="H30">
        <v>10</v>
      </c>
      <c r="I30">
        <v>0</v>
      </c>
      <c r="J30">
        <v>0</v>
      </c>
      <c r="K30">
        <v>0</v>
      </c>
      <c r="L30">
        <v>0</v>
      </c>
      <c r="N30">
        <v>1</v>
      </c>
    </row>
    <row r="31"/>
  </sheetData>
  <ignoredErrors>
    <ignoredError numberStoredAsText="1" sqref="A1:Z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3.83203125" customWidth="1"/>
    <col min="2" max="2" width="40.83203125" customWidth="1"/>
    <col min="3" max="3" width="24.83203125" customWidth="1"/>
    <col min="4" max="4" width="18.83203125" customWidth="1"/>
  </cols>
  <sheetData>
    <row r="7">
      <c r="B7" t="str">
        <v>Položka</v>
      </c>
      <c r="C7" t="str">
        <v>Finanční náročnost celková RTS</v>
      </c>
      <c r="D7" t="str">
        <v>Index Kamechy</v>
      </c>
    </row>
    <row r="8">
      <c r="B8" t="str">
        <f t="array" ref="B8:D28">SORT('List 1'!B8:D28,3,1)</f>
        <v>Dětská hřiště</v>
      </c>
      <c r="C8">
        <v>16800000</v>
      </c>
      <c r="D8">
        <v>1.2525626731951913</v>
      </c>
    </row>
    <row r="9">
      <c r="B9" t="str">
        <v>Veřejná pobytová zeleň</v>
      </c>
      <c r="C9">
        <v>51000000</v>
      </c>
      <c r="D9">
        <v>1.558544849750708</v>
      </c>
    </row>
    <row r="10">
      <c r="B10" t="str">
        <v>Podzemní kontejnery</v>
      </c>
      <c r="C10">
        <v>25200000</v>
      </c>
      <c r="D10">
        <v>1.893129724078501</v>
      </c>
    </row>
    <row r="11">
      <c r="B11" t="str">
        <v>Terminál MHD</v>
      </c>
      <c r="C11">
        <v>21088500</v>
      </c>
      <c r="D11">
        <v>1.9729725810862035</v>
      </c>
    </row>
    <row r="12">
      <c r="B12" t="str">
        <v>Retence Modrozelená infrastruktura</v>
      </c>
      <c r="C12">
        <v>3515400</v>
      </c>
      <c r="D12">
        <v>2.147877310794665</v>
      </c>
    </row>
    <row r="13">
      <c r="B13" t="str">
        <v>Základní škola</v>
      </c>
      <c r="C13">
        <v>421090000</v>
      </c>
      <c r="D13">
        <v>2.6727662618226304</v>
      </c>
    </row>
    <row r="14">
      <c r="B14" t="str">
        <v>Objekt veřejných soc. zařízení</v>
      </c>
      <c r="C14">
        <v>394740000</v>
      </c>
      <c r="D14">
        <v>2.877994279927622</v>
      </c>
    </row>
    <row r="15">
      <c r="B15" t="str">
        <v>Parkování</v>
      </c>
      <c r="C15">
        <v>215000000</v>
      </c>
      <c r="D15">
        <v>2.949887952030295</v>
      </c>
    </row>
    <row r="16">
      <c r="B16" t="str">
        <v>Mateřská škola</v>
      </c>
      <c r="C16">
        <v>202123200</v>
      </c>
      <c r="D16">
        <v>2.974356377103434</v>
      </c>
    </row>
    <row r="17">
      <c r="B17" t="str">
        <v>Zázemí technických služeb</v>
      </c>
      <c r="C17">
        <v>26985000</v>
      </c>
      <c r="D17">
        <v>3.067107365248347</v>
      </c>
    </row>
    <row r="18">
      <c r="B18" t="str">
        <v>Komunitní centrum se sálem</v>
      </c>
      <c r="C18">
        <v>47232000</v>
      </c>
      <c r="D18">
        <v>3.096021099170807</v>
      </c>
    </row>
    <row r="19">
      <c r="B19" t="str">
        <v>Výjezdové centrum Hasičů a IZS</v>
      </c>
      <c r="C19">
        <v>134125000</v>
      </c>
      <c r="D19">
        <v>3.1915372431644142</v>
      </c>
    </row>
    <row r="20">
      <c r="B20" t="str">
        <v>Krytá sportovní hala</v>
      </c>
      <c r="C20">
        <v>114840000</v>
      </c>
      <c r="D20">
        <v>3.4782830078924345</v>
      </c>
    </row>
    <row r="21">
      <c r="B21" t="str">
        <v>Městská knihovna</v>
      </c>
      <c r="C21">
        <v>30110400</v>
      </c>
      <c r="D21">
        <v>3.500142022149961</v>
      </c>
    </row>
    <row r="22">
      <c r="B22" t="str">
        <v>Lékárna</v>
      </c>
      <c r="C22">
        <v>8187000</v>
      </c>
      <c r="D22">
        <v>3.5831200190318304</v>
      </c>
    </row>
    <row r="23">
      <c r="B23" t="str">
        <v>Pošta</v>
      </c>
      <c r="C23">
        <v>7353000</v>
      </c>
      <c r="D23">
        <v>3.8390718822451504</v>
      </c>
    </row>
    <row r="24">
      <c r="B24" t="str">
        <v>Maloobchod potraviny</v>
      </c>
      <c r="C24">
        <v>14821875</v>
      </c>
      <c r="D24">
        <v>4.021166382673085</v>
      </c>
    </row>
    <row r="25">
      <c r="B25" t="str">
        <v>Sběrný dvůr</v>
      </c>
      <c r="C25">
        <v>5160000</v>
      </c>
      <c r="D25">
        <v>4.293083025134441</v>
      </c>
    </row>
    <row r="26">
      <c r="B26" t="str">
        <v>Okrsková služebna policie</v>
      </c>
      <c r="C26">
        <v>12255000</v>
      </c>
      <c r="D26">
        <v>4.731786470408585</v>
      </c>
    </row>
    <row r="27">
      <c r="B27" t="str">
        <v>Poliklinika</v>
      </c>
      <c r="C27">
        <v>54580000</v>
      </c>
      <c r="D27">
        <v>4.73508584116458</v>
      </c>
    </row>
    <row r="28">
      <c r="B28" t="str">
        <v>Dům s pečovatelskou službou</v>
      </c>
      <c r="C28">
        <v>294560000</v>
      </c>
      <c r="D28">
        <v>4.792075060498542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1</vt:lpstr>
      <vt:lpstr>Seřazený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