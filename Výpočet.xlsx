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<sst xmlns="http://schemas.openxmlformats.org/spreadsheetml/2006/main" count="56" uniqueCount="36">
  <si>
    <t>podíl subjektů</t>
  </si>
  <si>
    <t>cena celková RTS</t>
  </si>
  <si>
    <t>naléhavost</t>
  </si>
  <si>
    <t>preference respondentů</t>
  </si>
  <si>
    <t>Město [%]</t>
  </si>
  <si>
    <t>Developeři [%]</t>
  </si>
  <si>
    <t>Stát [%]</t>
  </si>
  <si>
    <t>EU [%]</t>
  </si>
  <si>
    <t>Kraj [%]</t>
  </si>
  <si>
    <t>Soukromí [%]</t>
  </si>
  <si>
    <t>Index Kamechy</t>
  </si>
  <si>
    <t>Vypočítané pořadí položek seznamu</t>
  </si>
  <si>
    <t>Seřazené položky podle nastavených preferencí</t>
  </si>
  <si>
    <t>Dětská hřiště</t>
  </si>
  <si>
    <t>Dům s pečovatelskou službou</t>
  </si>
  <si>
    <t>Veřejná pobytová zeleň</t>
  </si>
  <si>
    <t>Výjezdové centrum Hasičů a  IZS</t>
  </si>
  <si>
    <t>Podzemní kontejnery</t>
  </si>
  <si>
    <t>Komunitní centrum se sálem</t>
  </si>
  <si>
    <t>Retence Modrozelená infrastruktura</t>
  </si>
  <si>
    <t>Krytá sportovní hala</t>
  </si>
  <si>
    <t>Základní škola</t>
  </si>
  <si>
    <t>Lékárna</t>
  </si>
  <si>
    <t>Mateřská škola</t>
  </si>
  <si>
    <t>Maloobchod potraviny</t>
  </si>
  <si>
    <t>Objekt veřejných soc. zařízení</t>
  </si>
  <si>
    <t>Městská knihovna</t>
  </si>
  <si>
    <t>Parkování</t>
  </si>
  <si>
    <t>Terminál MHD</t>
  </si>
  <si>
    <t>Okrsková služebna policie</t>
  </si>
  <si>
    <t>Zázemí technických služeb</t>
  </si>
  <si>
    <t>Poliklinika</t>
  </si>
  <si>
    <t>Pošta</t>
  </si>
  <si>
    <t>Sběrný dvůr</t>
  </si>
  <si>
    <t>koeficienty vážení položek (0-10)</t>
  </si>
  <si>
    <t>společný koeficienty vážení financování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</si>
</sst>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rgb="FF000000"/>
      <name val="Arial"/>
    </font>
    <font>
      <color theme="1"/>
      <name val="Arial"/>
      <scheme val="minor"/>
    </font>
    <font>
      <sz val="9.0"/>
      <color rgb="FF000000"/>
      <name val="Arial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3" xfId="0" applyAlignment="1" applyFont="1" applyNumberFormat="1">
      <alignment horizontal="left" readingOrder="0" shrinkToFit="0" wrapText="1"/>
    </xf>
    <xf borderId="0" fillId="0" fontId="3" numFmtId="3" xfId="0" applyAlignment="1" applyFont="1" applyNumberFormat="1">
      <alignment readingOrder="0"/>
    </xf>
    <xf borderId="0" fillId="0" fontId="5" numFmtId="3" xfId="0" applyAlignment="1" applyFont="1" applyNumberFormat="1">
      <alignment horizontal="right" readingOrder="0" shrinkToFit="0" wrapText="1"/>
    </xf>
    <xf borderId="0" fillId="0" fontId="3" numFmtId="0" xfId="0" applyFon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3" width="29.5"/>
    <col customWidth="1" min="4" max="4" width="15.75"/>
    <col customWidth="1" min="13" max="13" width="22.88"/>
    <col customWidth="1" min="15" max="15" width="16.75"/>
    <col customWidth="1" min="16" max="16" width="36.63"/>
    <col hidden="1" min="18" max="26" width="12.63"/>
  </cols>
  <sheetData>
    <row r="6">
      <c r="G6" s="1" t="s">
        <v>0</v>
      </c>
    </row>
    <row r="7">
      <c r="D7" s="2" t="s">
        <v>1</v>
      </c>
      <c r="E7" s="2" t="s">
        <v>2</v>
      </c>
      <c r="F7" s="2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4" t="s">
        <v>10</v>
      </c>
      <c r="O7" s="2" t="s">
        <v>11</v>
      </c>
      <c r="P7" s="2" t="s">
        <v>12</v>
      </c>
    </row>
    <row r="8">
      <c r="B8" s="5">
        <v>1.0</v>
      </c>
      <c r="C8" s="3" t="s">
        <v>13</v>
      </c>
      <c r="D8" s="6">
        <v>1.68E7</v>
      </c>
      <c r="E8" s="7">
        <v>2.0</v>
      </c>
      <c r="F8" s="8">
        <v>3.0</v>
      </c>
      <c r="G8" s="6">
        <v>25.0</v>
      </c>
      <c r="H8" s="6">
        <v>60.0</v>
      </c>
      <c r="I8" s="6">
        <v>10.0</v>
      </c>
      <c r="J8" s="6">
        <v>0.0</v>
      </c>
      <c r="K8" s="6">
        <v>0.0</v>
      </c>
      <c r="L8" s="6">
        <v>0.0</v>
      </c>
      <c r="M8" s="9">
        <f t="shared" ref="M8:M28" si="1">$D$30*D8/SUM($D$8:$D$28)+$E$30*E8/5+$F$30*F8/COUNT($F$8:$F$28)+($G$31/5)*SUM(R32:W32)</f>
        <v>1.752562673</v>
      </c>
      <c r="O8" s="5">
        <v>1.0</v>
      </c>
      <c r="P8" s="9" t="str">
        <f t="array" ref="P8:Z28">SORT(C8:M28,11,1)</f>
        <v>Dětská hřiště</v>
      </c>
      <c r="Q8" s="10">
        <v>1.68E7</v>
      </c>
      <c r="R8" s="10">
        <v>2.0</v>
      </c>
      <c r="S8" s="10">
        <v>3.0</v>
      </c>
      <c r="T8" s="10">
        <v>25.0</v>
      </c>
      <c r="U8" s="10">
        <v>60.0</v>
      </c>
      <c r="V8" s="10">
        <v>10.0</v>
      </c>
      <c r="W8" s="10">
        <v>0.0</v>
      </c>
      <c r="X8" s="10">
        <v>0.0</v>
      </c>
      <c r="Y8" s="10">
        <v>0.0</v>
      </c>
      <c r="Z8" s="9">
        <v>1.7525626731951913</v>
      </c>
    </row>
    <row r="9">
      <c r="B9" s="5">
        <v>2.0</v>
      </c>
      <c r="C9" s="3" t="s">
        <v>14</v>
      </c>
      <c r="D9" s="6">
        <v>2.9456E8</v>
      </c>
      <c r="E9" s="7">
        <v>5.0</v>
      </c>
      <c r="F9" s="8">
        <v>18.0</v>
      </c>
      <c r="G9" s="6">
        <v>25.0</v>
      </c>
      <c r="H9" s="6">
        <v>10.0</v>
      </c>
      <c r="I9" s="6">
        <v>25.0</v>
      </c>
      <c r="J9" s="6">
        <v>25.0</v>
      </c>
      <c r="K9" s="6">
        <v>15.0</v>
      </c>
      <c r="L9" s="6">
        <v>0.0</v>
      </c>
      <c r="M9" s="9">
        <f t="shared" si="1"/>
        <v>5.29207506</v>
      </c>
      <c r="O9" s="5">
        <v>2.0</v>
      </c>
      <c r="P9" s="9" t="s">
        <v>15</v>
      </c>
      <c r="Q9" s="10">
        <v>5.1E7</v>
      </c>
      <c r="R9" s="10">
        <v>3.0</v>
      </c>
      <c r="S9" s="10">
        <v>2.0</v>
      </c>
      <c r="T9" s="10">
        <v>30.0</v>
      </c>
      <c r="U9" s="10">
        <v>40.0</v>
      </c>
      <c r="V9" s="10">
        <v>10.0</v>
      </c>
      <c r="W9" s="10">
        <v>30.0</v>
      </c>
      <c r="X9" s="10">
        <v>0.0</v>
      </c>
      <c r="Y9" s="10">
        <v>0.0</v>
      </c>
      <c r="Z9" s="9">
        <v>2.158544849750708</v>
      </c>
    </row>
    <row r="10">
      <c r="B10" s="5">
        <v>3.0</v>
      </c>
      <c r="C10" s="3" t="s">
        <v>16</v>
      </c>
      <c r="D10" s="6">
        <v>1.34125E8</v>
      </c>
      <c r="E10" s="7">
        <v>1.0</v>
      </c>
      <c r="F10" s="8">
        <v>7.0</v>
      </c>
      <c r="G10" s="6">
        <v>20.0</v>
      </c>
      <c r="H10" s="6">
        <v>0.0</v>
      </c>
      <c r="I10" s="6">
        <v>40.0</v>
      </c>
      <c r="J10" s="6">
        <v>35.0</v>
      </c>
      <c r="K10" s="6">
        <v>15.0</v>
      </c>
      <c r="L10" s="6">
        <v>0.0</v>
      </c>
      <c r="M10" s="9">
        <f t="shared" si="1"/>
        <v>3.591537243</v>
      </c>
      <c r="O10" s="5">
        <v>3.0</v>
      </c>
      <c r="P10" s="9" t="s">
        <v>17</v>
      </c>
      <c r="Q10" s="10">
        <v>2.52E7</v>
      </c>
      <c r="R10" s="10">
        <v>2.5</v>
      </c>
      <c r="S10" s="10">
        <v>6.0</v>
      </c>
      <c r="T10" s="10">
        <v>15.0</v>
      </c>
      <c r="U10" s="10">
        <v>50.0</v>
      </c>
      <c r="V10" s="10">
        <v>0.0</v>
      </c>
      <c r="W10" s="10">
        <v>35.0</v>
      </c>
      <c r="X10" s="10">
        <v>0.0</v>
      </c>
      <c r="Y10" s="10">
        <v>0.0</v>
      </c>
      <c r="Z10" s="9">
        <v>2.193129724078501</v>
      </c>
    </row>
    <row r="11">
      <c r="B11" s="5">
        <v>4.0</v>
      </c>
      <c r="C11" s="3" t="s">
        <v>18</v>
      </c>
      <c r="D11" s="6">
        <v>4.7232E7</v>
      </c>
      <c r="E11" s="7">
        <v>3.0</v>
      </c>
      <c r="F11" s="8">
        <v>10.0</v>
      </c>
      <c r="G11" s="6">
        <v>0.0</v>
      </c>
      <c r="H11" s="6">
        <v>20.0</v>
      </c>
      <c r="I11" s="6">
        <v>10.0</v>
      </c>
      <c r="J11" s="6">
        <v>30.0</v>
      </c>
      <c r="K11" s="6">
        <v>0.0</v>
      </c>
      <c r="L11" s="6">
        <v>0.0</v>
      </c>
      <c r="M11" s="9">
        <f t="shared" si="1"/>
        <v>3.096021099</v>
      </c>
      <c r="O11" s="5">
        <v>4.0</v>
      </c>
      <c r="P11" s="9" t="s">
        <v>19</v>
      </c>
      <c r="Q11" s="10">
        <v>3515400.0</v>
      </c>
      <c r="R11" s="10">
        <v>1.0</v>
      </c>
      <c r="S11" s="10">
        <v>8.0</v>
      </c>
      <c r="T11" s="10">
        <v>10.0</v>
      </c>
      <c r="U11" s="10">
        <v>50.0</v>
      </c>
      <c r="V11" s="10">
        <v>5.0</v>
      </c>
      <c r="W11" s="10">
        <v>35.0</v>
      </c>
      <c r="X11" s="10">
        <v>0.0</v>
      </c>
      <c r="Y11" s="10">
        <v>0.0</v>
      </c>
      <c r="Z11" s="9">
        <v>2.347877310794665</v>
      </c>
    </row>
    <row r="12">
      <c r="B12" s="5">
        <v>5.0</v>
      </c>
      <c r="C12" s="3" t="s">
        <v>20</v>
      </c>
      <c r="D12" s="6">
        <v>1.1484E8</v>
      </c>
      <c r="E12" s="7">
        <v>2.0</v>
      </c>
      <c r="F12" s="8">
        <v>12.0</v>
      </c>
      <c r="G12" s="6">
        <v>20.0</v>
      </c>
      <c r="H12" s="6">
        <v>20.0</v>
      </c>
      <c r="I12" s="6">
        <v>30.0</v>
      </c>
      <c r="J12" s="6">
        <v>0.0</v>
      </c>
      <c r="K12" s="6">
        <v>15.0</v>
      </c>
      <c r="L12" s="6">
        <v>0.0</v>
      </c>
      <c r="M12" s="9">
        <f t="shared" si="1"/>
        <v>3.878283008</v>
      </c>
      <c r="O12" s="5">
        <v>5.0</v>
      </c>
      <c r="P12" s="9" t="s">
        <v>21</v>
      </c>
      <c r="Q12" s="10">
        <v>4.2109E8</v>
      </c>
      <c r="R12" s="10">
        <v>3.0</v>
      </c>
      <c r="S12" s="10">
        <v>4.0</v>
      </c>
      <c r="T12" s="10">
        <v>10.0</v>
      </c>
      <c r="U12" s="10">
        <v>25.0</v>
      </c>
      <c r="V12" s="10">
        <v>30.0</v>
      </c>
      <c r="W12" s="10">
        <v>20.0</v>
      </c>
      <c r="X12" s="10">
        <v>0.0</v>
      </c>
      <c r="Y12" s="10">
        <v>0.0</v>
      </c>
      <c r="Z12" s="9">
        <v>2.8727662618226306</v>
      </c>
    </row>
    <row r="13">
      <c r="B13" s="5">
        <v>6.0</v>
      </c>
      <c r="C13" s="3" t="s">
        <v>22</v>
      </c>
      <c r="D13" s="6">
        <v>8187000.0</v>
      </c>
      <c r="E13" s="7">
        <v>1.0</v>
      </c>
      <c r="F13" s="8">
        <v>11.0</v>
      </c>
      <c r="G13" s="6">
        <v>35.0</v>
      </c>
      <c r="H13" s="6">
        <v>0.0</v>
      </c>
      <c r="I13" s="6">
        <v>0.0</v>
      </c>
      <c r="J13" s="6">
        <v>0.0</v>
      </c>
      <c r="K13" s="6">
        <v>0.0</v>
      </c>
      <c r="L13" s="6">
        <v>100.0</v>
      </c>
      <c r="M13" s="9">
        <f t="shared" si="1"/>
        <v>4.283120019</v>
      </c>
      <c r="O13" s="5">
        <v>6.0</v>
      </c>
      <c r="P13" s="9" t="s">
        <v>23</v>
      </c>
      <c r="Q13" s="10">
        <v>2.021232E8</v>
      </c>
      <c r="R13" s="10">
        <v>2.0</v>
      </c>
      <c r="S13" s="10">
        <v>9.0</v>
      </c>
      <c r="T13" s="10">
        <v>0.0</v>
      </c>
      <c r="U13" s="10">
        <v>30.0</v>
      </c>
      <c r="V13" s="10">
        <v>15.0</v>
      </c>
      <c r="W13" s="10">
        <v>30.0</v>
      </c>
      <c r="X13" s="10">
        <v>0.0</v>
      </c>
      <c r="Y13" s="10">
        <v>0.0</v>
      </c>
      <c r="Z13" s="9">
        <v>2.974356377103434</v>
      </c>
    </row>
    <row r="14">
      <c r="B14" s="5">
        <v>7.0</v>
      </c>
      <c r="C14" s="3" t="s">
        <v>24</v>
      </c>
      <c r="D14" s="6">
        <v>1.4821875E7</v>
      </c>
      <c r="E14" s="7">
        <v>2.0</v>
      </c>
      <c r="F14" s="8">
        <v>14.0</v>
      </c>
      <c r="G14" s="6">
        <v>20.0</v>
      </c>
      <c r="H14" s="6">
        <v>0.0</v>
      </c>
      <c r="I14" s="6">
        <v>0.0</v>
      </c>
      <c r="J14" s="6">
        <v>0.0</v>
      </c>
      <c r="K14" s="6">
        <v>0.0</v>
      </c>
      <c r="L14" s="6">
        <v>100.0</v>
      </c>
      <c r="M14" s="9">
        <f t="shared" si="1"/>
        <v>4.421166383</v>
      </c>
      <c r="O14" s="5">
        <v>7.0</v>
      </c>
      <c r="P14" s="9" t="s">
        <v>18</v>
      </c>
      <c r="Q14" s="10">
        <v>4.7232E7</v>
      </c>
      <c r="R14" s="10">
        <v>3.0</v>
      </c>
      <c r="S14" s="10">
        <v>10.0</v>
      </c>
      <c r="T14" s="10">
        <v>0.0</v>
      </c>
      <c r="U14" s="10">
        <v>20.0</v>
      </c>
      <c r="V14" s="10">
        <v>10.0</v>
      </c>
      <c r="W14" s="10">
        <v>30.0</v>
      </c>
      <c r="X14" s="10">
        <v>0.0</v>
      </c>
      <c r="Y14" s="10">
        <v>0.0</v>
      </c>
      <c r="Z14" s="9">
        <v>3.096021099170807</v>
      </c>
    </row>
    <row r="15">
      <c r="B15" s="5">
        <v>8.0</v>
      </c>
      <c r="C15" s="3" t="s">
        <v>23</v>
      </c>
      <c r="D15" s="6">
        <v>2.021232E8</v>
      </c>
      <c r="E15" s="7">
        <v>2.0</v>
      </c>
      <c r="F15" s="8">
        <v>9.0</v>
      </c>
      <c r="G15" s="6">
        <v>0.0</v>
      </c>
      <c r="H15" s="6">
        <v>30.0</v>
      </c>
      <c r="I15" s="6">
        <v>15.0</v>
      </c>
      <c r="J15" s="6">
        <v>30.0</v>
      </c>
      <c r="K15" s="6">
        <v>0.0</v>
      </c>
      <c r="L15" s="6">
        <v>0.0</v>
      </c>
      <c r="M15" s="9">
        <f t="shared" si="1"/>
        <v>2.974356377</v>
      </c>
      <c r="O15" s="5">
        <v>8.0</v>
      </c>
      <c r="P15" s="9" t="s">
        <v>25</v>
      </c>
      <c r="Q15" s="10">
        <v>3.9474E8</v>
      </c>
      <c r="R15" s="10">
        <v>5.0</v>
      </c>
      <c r="S15" s="10">
        <v>5.0</v>
      </c>
      <c r="T15" s="10">
        <v>20.0</v>
      </c>
      <c r="U15" s="10">
        <v>20.0</v>
      </c>
      <c r="V15" s="10">
        <v>20.0</v>
      </c>
      <c r="W15" s="10">
        <v>30.0</v>
      </c>
      <c r="X15" s="10">
        <v>0.0</v>
      </c>
      <c r="Y15" s="10">
        <v>0.0</v>
      </c>
      <c r="Z15" s="9">
        <v>3.277994279927622</v>
      </c>
    </row>
    <row r="16">
      <c r="B16" s="5">
        <v>9.0</v>
      </c>
      <c r="C16" s="3" t="s">
        <v>26</v>
      </c>
      <c r="D16" s="6">
        <v>3.01104E7</v>
      </c>
      <c r="E16" s="7">
        <v>3.0</v>
      </c>
      <c r="F16" s="8">
        <v>13.0</v>
      </c>
      <c r="G16" s="6">
        <v>15.0</v>
      </c>
      <c r="H16" s="6">
        <v>20.0</v>
      </c>
      <c r="I16" s="6">
        <v>0.0</v>
      </c>
      <c r="J16" s="6">
        <v>20.0</v>
      </c>
      <c r="K16" s="6">
        <v>0.0</v>
      </c>
      <c r="L16" s="6">
        <v>0.0</v>
      </c>
      <c r="M16" s="9">
        <f t="shared" si="1"/>
        <v>3.800142022</v>
      </c>
      <c r="O16" s="5">
        <v>9.0</v>
      </c>
      <c r="P16" s="9" t="s">
        <v>27</v>
      </c>
      <c r="Q16" s="10">
        <v>2.15E8</v>
      </c>
      <c r="R16" s="10">
        <v>3.0</v>
      </c>
      <c r="S16" s="10">
        <v>15.0</v>
      </c>
      <c r="T16" s="10">
        <v>25.0</v>
      </c>
      <c r="U16" s="10">
        <v>75.0</v>
      </c>
      <c r="V16" s="10">
        <v>0.0</v>
      </c>
      <c r="W16" s="10">
        <v>5.0</v>
      </c>
      <c r="X16" s="10">
        <v>0.0</v>
      </c>
      <c r="Y16" s="10">
        <v>5.0</v>
      </c>
      <c r="Z16" s="9">
        <v>3.449887952030295</v>
      </c>
    </row>
    <row r="17">
      <c r="B17" s="5">
        <v>10.0</v>
      </c>
      <c r="C17" s="3" t="s">
        <v>19</v>
      </c>
      <c r="D17" s="6">
        <v>3515400.0</v>
      </c>
      <c r="E17" s="7">
        <v>1.0</v>
      </c>
      <c r="F17" s="8">
        <v>8.0</v>
      </c>
      <c r="G17" s="6">
        <v>10.0</v>
      </c>
      <c r="H17" s="6">
        <v>50.0</v>
      </c>
      <c r="I17" s="6">
        <v>5.0</v>
      </c>
      <c r="J17" s="6">
        <v>35.0</v>
      </c>
      <c r="K17" s="6">
        <v>0.0</v>
      </c>
      <c r="L17" s="6">
        <v>0.0</v>
      </c>
      <c r="M17" s="9">
        <f t="shared" si="1"/>
        <v>2.347877311</v>
      </c>
      <c r="O17" s="5">
        <v>10.0</v>
      </c>
      <c r="P17" s="9" t="s">
        <v>28</v>
      </c>
      <c r="Q17" s="10">
        <v>2.10885E7</v>
      </c>
      <c r="R17" s="10">
        <v>1.0</v>
      </c>
      <c r="S17" s="10">
        <v>1.0</v>
      </c>
      <c r="T17" s="10">
        <v>80.0</v>
      </c>
      <c r="U17" s="10">
        <v>10.0</v>
      </c>
      <c r="V17" s="10">
        <v>15.0</v>
      </c>
      <c r="W17" s="10">
        <v>50.0</v>
      </c>
      <c r="X17" s="10">
        <v>5.0</v>
      </c>
      <c r="Y17" s="10">
        <v>0.0</v>
      </c>
      <c r="Z17" s="9">
        <v>3.5729725810862036</v>
      </c>
    </row>
    <row r="18">
      <c r="B18" s="5">
        <v>11.0</v>
      </c>
      <c r="C18" s="3" t="s">
        <v>25</v>
      </c>
      <c r="D18" s="6">
        <v>3.9474E8</v>
      </c>
      <c r="E18" s="7">
        <v>5.0</v>
      </c>
      <c r="F18" s="8">
        <v>5.0</v>
      </c>
      <c r="G18" s="6">
        <v>20.0</v>
      </c>
      <c r="H18" s="6">
        <v>20.0</v>
      </c>
      <c r="I18" s="6">
        <v>20.0</v>
      </c>
      <c r="J18" s="6">
        <v>30.0</v>
      </c>
      <c r="K18" s="6">
        <v>0.0</v>
      </c>
      <c r="L18" s="6">
        <v>0.0</v>
      </c>
      <c r="M18" s="9">
        <f t="shared" si="1"/>
        <v>3.27799428</v>
      </c>
      <c r="O18" s="5">
        <v>11.0</v>
      </c>
      <c r="P18" s="9" t="s">
        <v>16</v>
      </c>
      <c r="Q18" s="10">
        <v>1.34125E8</v>
      </c>
      <c r="R18" s="10">
        <v>1.0</v>
      </c>
      <c r="S18" s="10">
        <v>7.0</v>
      </c>
      <c r="T18" s="10">
        <v>20.0</v>
      </c>
      <c r="U18" s="10">
        <v>0.0</v>
      </c>
      <c r="V18" s="10">
        <v>40.0</v>
      </c>
      <c r="W18" s="10">
        <v>35.0</v>
      </c>
      <c r="X18" s="10">
        <v>15.0</v>
      </c>
      <c r="Y18" s="10">
        <v>0.0</v>
      </c>
      <c r="Z18" s="9">
        <v>3.5915372431644146</v>
      </c>
    </row>
    <row r="19">
      <c r="B19" s="5">
        <v>12.0</v>
      </c>
      <c r="C19" s="3" t="s">
        <v>29</v>
      </c>
      <c r="D19" s="6">
        <v>1.2255E7</v>
      </c>
      <c r="E19" s="7">
        <v>1.0</v>
      </c>
      <c r="F19" s="8">
        <v>19.0</v>
      </c>
      <c r="G19" s="6">
        <v>40.0</v>
      </c>
      <c r="H19" s="6">
        <v>0.0</v>
      </c>
      <c r="I19" s="6">
        <v>80.0</v>
      </c>
      <c r="J19" s="6">
        <v>0.0</v>
      </c>
      <c r="K19" s="6">
        <v>0.0</v>
      </c>
      <c r="L19" s="6">
        <v>0.0</v>
      </c>
      <c r="M19" s="9">
        <f t="shared" si="1"/>
        <v>5.53178647</v>
      </c>
      <c r="O19" s="5">
        <v>12.0</v>
      </c>
      <c r="P19" s="9" t="s">
        <v>30</v>
      </c>
      <c r="Q19" s="10">
        <v>2.6985E7</v>
      </c>
      <c r="R19" s="10">
        <v>1.0</v>
      </c>
      <c r="S19" s="10">
        <v>10.0</v>
      </c>
      <c r="T19" s="10">
        <v>30.0</v>
      </c>
      <c r="U19" s="10">
        <v>20.0</v>
      </c>
      <c r="V19" s="10">
        <v>0.0</v>
      </c>
      <c r="W19" s="10">
        <v>0.0</v>
      </c>
      <c r="X19" s="10">
        <v>0.0</v>
      </c>
      <c r="Y19" s="10">
        <v>0.0</v>
      </c>
      <c r="Z19" s="9">
        <v>3.6671073652483477</v>
      </c>
    </row>
    <row r="20">
      <c r="B20" s="5">
        <v>13.0</v>
      </c>
      <c r="C20" s="3" t="s">
        <v>27</v>
      </c>
      <c r="D20" s="6">
        <v>2.15E8</v>
      </c>
      <c r="E20" s="7">
        <v>3.0</v>
      </c>
      <c r="F20" s="8">
        <v>15.0</v>
      </c>
      <c r="G20" s="6">
        <v>25.0</v>
      </c>
      <c r="H20" s="6">
        <v>75.0</v>
      </c>
      <c r="I20" s="6">
        <v>0.0</v>
      </c>
      <c r="J20" s="6">
        <v>5.0</v>
      </c>
      <c r="K20" s="6">
        <v>0.0</v>
      </c>
      <c r="L20" s="6">
        <v>5.0</v>
      </c>
      <c r="M20" s="9">
        <f t="shared" si="1"/>
        <v>3.449887952</v>
      </c>
      <c r="O20" s="5">
        <v>13.0</v>
      </c>
      <c r="P20" s="9" t="s">
        <v>26</v>
      </c>
      <c r="Q20" s="10">
        <v>3.01104E7</v>
      </c>
      <c r="R20" s="10">
        <v>3.0</v>
      </c>
      <c r="S20" s="10">
        <v>13.0</v>
      </c>
      <c r="T20" s="10">
        <v>15.0</v>
      </c>
      <c r="U20" s="10">
        <v>20.0</v>
      </c>
      <c r="V20" s="10">
        <v>0.0</v>
      </c>
      <c r="W20" s="10">
        <v>20.0</v>
      </c>
      <c r="X20" s="10">
        <v>0.0</v>
      </c>
      <c r="Y20" s="10">
        <v>0.0</v>
      </c>
      <c r="Z20" s="9">
        <v>3.800142022149961</v>
      </c>
    </row>
    <row r="21">
      <c r="B21" s="5">
        <v>14.0</v>
      </c>
      <c r="C21" s="3" t="s">
        <v>17</v>
      </c>
      <c r="D21" s="6">
        <v>2.52E7</v>
      </c>
      <c r="E21" s="7">
        <v>2.5</v>
      </c>
      <c r="F21" s="8">
        <v>6.0</v>
      </c>
      <c r="G21" s="6">
        <v>15.0</v>
      </c>
      <c r="H21" s="6">
        <v>50.0</v>
      </c>
      <c r="I21" s="6">
        <v>0.0</v>
      </c>
      <c r="J21" s="6">
        <v>35.0</v>
      </c>
      <c r="K21" s="6">
        <v>0.0</v>
      </c>
      <c r="L21" s="6">
        <v>0.0</v>
      </c>
      <c r="M21" s="9">
        <f t="shared" si="1"/>
        <v>2.193129724</v>
      </c>
      <c r="O21" s="5">
        <v>14.0</v>
      </c>
      <c r="P21" s="9" t="s">
        <v>20</v>
      </c>
      <c r="Q21" s="10">
        <v>1.1484E8</v>
      </c>
      <c r="R21" s="10">
        <v>2.0</v>
      </c>
      <c r="S21" s="10">
        <v>12.0</v>
      </c>
      <c r="T21" s="10">
        <v>20.0</v>
      </c>
      <c r="U21" s="10">
        <v>20.0</v>
      </c>
      <c r="V21" s="10">
        <v>30.0</v>
      </c>
      <c r="W21" s="10">
        <v>0.0</v>
      </c>
      <c r="X21" s="10">
        <v>15.0</v>
      </c>
      <c r="Y21" s="10">
        <v>0.0</v>
      </c>
      <c r="Z21" s="9">
        <v>3.878283007892434</v>
      </c>
    </row>
    <row r="22">
      <c r="B22" s="5">
        <v>15.0</v>
      </c>
      <c r="C22" s="3" t="s">
        <v>31</v>
      </c>
      <c r="D22" s="6">
        <v>5.458E7</v>
      </c>
      <c r="E22" s="7">
        <v>1.0</v>
      </c>
      <c r="F22" s="8">
        <v>20.0</v>
      </c>
      <c r="G22" s="6">
        <v>40.0</v>
      </c>
      <c r="H22" s="6">
        <v>10.0</v>
      </c>
      <c r="I22" s="6">
        <v>0.0</v>
      </c>
      <c r="J22" s="6">
        <v>0.0</v>
      </c>
      <c r="K22" s="6">
        <v>10.0</v>
      </c>
      <c r="L22" s="6">
        <v>60.0</v>
      </c>
      <c r="M22" s="9">
        <f t="shared" si="1"/>
        <v>5.535085841</v>
      </c>
      <c r="O22" s="5">
        <v>15.0</v>
      </c>
      <c r="P22" s="9" t="s">
        <v>32</v>
      </c>
      <c r="Q22" s="10">
        <v>7353000.0</v>
      </c>
      <c r="R22" s="10">
        <v>1.0</v>
      </c>
      <c r="S22" s="10">
        <v>17.0</v>
      </c>
      <c r="T22" s="10">
        <v>20.0</v>
      </c>
      <c r="U22" s="10">
        <v>30.0</v>
      </c>
      <c r="V22" s="10">
        <v>50.0</v>
      </c>
      <c r="W22" s="10">
        <v>0.0</v>
      </c>
      <c r="X22" s="10">
        <v>0.0</v>
      </c>
      <c r="Y22" s="10">
        <v>0.0</v>
      </c>
      <c r="Z22" s="9">
        <v>4.23907188224515</v>
      </c>
    </row>
    <row r="23">
      <c r="B23" s="5">
        <v>16.0</v>
      </c>
      <c r="C23" s="3" t="s">
        <v>32</v>
      </c>
      <c r="D23" s="6">
        <v>7353000.0</v>
      </c>
      <c r="E23" s="7">
        <v>1.0</v>
      </c>
      <c r="F23" s="8">
        <v>17.0</v>
      </c>
      <c r="G23" s="6">
        <v>20.0</v>
      </c>
      <c r="H23" s="6">
        <v>30.0</v>
      </c>
      <c r="I23" s="6">
        <v>50.0</v>
      </c>
      <c r="J23" s="6">
        <v>0.0</v>
      </c>
      <c r="K23" s="6">
        <v>0.0</v>
      </c>
      <c r="L23" s="6">
        <v>0.0</v>
      </c>
      <c r="M23" s="9">
        <f t="shared" si="1"/>
        <v>4.239071882</v>
      </c>
      <c r="O23" s="5">
        <v>16.0</v>
      </c>
      <c r="P23" s="9" t="s">
        <v>22</v>
      </c>
      <c r="Q23" s="10">
        <v>8187000.0</v>
      </c>
      <c r="R23" s="10">
        <v>1.0</v>
      </c>
      <c r="S23" s="10">
        <v>11.0</v>
      </c>
      <c r="T23" s="10">
        <v>35.0</v>
      </c>
      <c r="U23" s="10">
        <v>0.0</v>
      </c>
      <c r="V23" s="10">
        <v>0.0</v>
      </c>
      <c r="W23" s="10">
        <v>0.0</v>
      </c>
      <c r="X23" s="10">
        <v>0.0</v>
      </c>
      <c r="Y23" s="10">
        <v>100.0</v>
      </c>
      <c r="Z23" s="9">
        <v>4.283120019031831</v>
      </c>
    </row>
    <row r="24">
      <c r="B24" s="5">
        <v>17.0</v>
      </c>
      <c r="C24" s="3" t="s">
        <v>33</v>
      </c>
      <c r="D24" s="6">
        <v>5160000.0</v>
      </c>
      <c r="E24" s="7">
        <v>1.0</v>
      </c>
      <c r="F24" s="8">
        <v>16.0</v>
      </c>
      <c r="G24" s="6">
        <v>60.0</v>
      </c>
      <c r="H24" s="6">
        <v>0.0</v>
      </c>
      <c r="I24" s="6">
        <v>10.0</v>
      </c>
      <c r="J24" s="6">
        <v>50.0</v>
      </c>
      <c r="K24" s="6">
        <v>0.0</v>
      </c>
      <c r="L24" s="6">
        <v>0.0</v>
      </c>
      <c r="M24" s="9">
        <f t="shared" si="1"/>
        <v>5.493083025</v>
      </c>
      <c r="O24" s="5">
        <v>17.0</v>
      </c>
      <c r="P24" s="9" t="s">
        <v>24</v>
      </c>
      <c r="Q24" s="10">
        <v>1.4821875E7</v>
      </c>
      <c r="R24" s="10">
        <v>2.0</v>
      </c>
      <c r="S24" s="10">
        <v>14.0</v>
      </c>
      <c r="T24" s="10">
        <v>20.0</v>
      </c>
      <c r="U24" s="10">
        <v>0.0</v>
      </c>
      <c r="V24" s="10">
        <v>0.0</v>
      </c>
      <c r="W24" s="10">
        <v>0.0</v>
      </c>
      <c r="X24" s="10">
        <v>0.0</v>
      </c>
      <c r="Y24" s="10">
        <v>100.0</v>
      </c>
      <c r="Z24" s="9">
        <v>4.421166382673086</v>
      </c>
    </row>
    <row r="25">
      <c r="B25" s="5">
        <v>18.0</v>
      </c>
      <c r="C25" s="3" t="s">
        <v>28</v>
      </c>
      <c r="D25" s="6">
        <v>2.10885E7</v>
      </c>
      <c r="E25" s="7">
        <v>1.0</v>
      </c>
      <c r="F25" s="8">
        <v>1.0</v>
      </c>
      <c r="G25" s="6">
        <v>80.0</v>
      </c>
      <c r="H25" s="6">
        <v>10.0</v>
      </c>
      <c r="I25" s="6">
        <v>15.0</v>
      </c>
      <c r="J25" s="6">
        <v>50.0</v>
      </c>
      <c r="K25" s="6">
        <v>5.0</v>
      </c>
      <c r="L25" s="6">
        <v>0.0</v>
      </c>
      <c r="M25" s="9">
        <f t="shared" si="1"/>
        <v>3.572972581</v>
      </c>
      <c r="O25" s="5">
        <v>18.0</v>
      </c>
      <c r="P25" s="9" t="s">
        <v>14</v>
      </c>
      <c r="Q25" s="10">
        <v>2.9456E8</v>
      </c>
      <c r="R25" s="10">
        <v>5.0</v>
      </c>
      <c r="S25" s="10">
        <v>18.0</v>
      </c>
      <c r="T25" s="10">
        <v>25.0</v>
      </c>
      <c r="U25" s="10">
        <v>10.0</v>
      </c>
      <c r="V25" s="10">
        <v>25.0</v>
      </c>
      <c r="W25" s="10">
        <v>25.0</v>
      </c>
      <c r="X25" s="10">
        <v>15.0</v>
      </c>
      <c r="Y25" s="10">
        <v>0.0</v>
      </c>
      <c r="Z25" s="9">
        <v>5.292075060498543</v>
      </c>
    </row>
    <row r="26">
      <c r="B26" s="5">
        <v>19.0</v>
      </c>
      <c r="C26" s="3" t="s">
        <v>15</v>
      </c>
      <c r="D26" s="6">
        <v>5.1E7</v>
      </c>
      <c r="E26" s="7">
        <v>3.0</v>
      </c>
      <c r="F26" s="8">
        <v>2.0</v>
      </c>
      <c r="G26" s="6">
        <v>30.0</v>
      </c>
      <c r="H26" s="6">
        <v>40.0</v>
      </c>
      <c r="I26" s="6">
        <v>10.0</v>
      </c>
      <c r="J26" s="6">
        <v>30.0</v>
      </c>
      <c r="K26" s="6">
        <v>0.0</v>
      </c>
      <c r="L26" s="6">
        <v>0.0</v>
      </c>
      <c r="M26" s="9">
        <f t="shared" si="1"/>
        <v>2.15854485</v>
      </c>
      <c r="O26" s="5">
        <v>19.0</v>
      </c>
      <c r="P26" s="9" t="s">
        <v>33</v>
      </c>
      <c r="Q26" s="10">
        <v>5160000.0</v>
      </c>
      <c r="R26" s="10">
        <v>1.0</v>
      </c>
      <c r="S26" s="10">
        <v>16.0</v>
      </c>
      <c r="T26" s="10">
        <v>60.0</v>
      </c>
      <c r="U26" s="10">
        <v>0.0</v>
      </c>
      <c r="V26" s="10">
        <v>10.0</v>
      </c>
      <c r="W26" s="10">
        <v>50.0</v>
      </c>
      <c r="X26" s="10">
        <v>0.0</v>
      </c>
      <c r="Y26" s="10">
        <v>0.0</v>
      </c>
      <c r="Z26" s="9">
        <v>5.493083025134442</v>
      </c>
    </row>
    <row r="27">
      <c r="B27" s="5">
        <v>20.0</v>
      </c>
      <c r="C27" s="3" t="s">
        <v>21</v>
      </c>
      <c r="D27" s="6">
        <v>4.2109E8</v>
      </c>
      <c r="E27" s="7">
        <v>3.0</v>
      </c>
      <c r="F27" s="8">
        <v>4.0</v>
      </c>
      <c r="G27" s="6">
        <v>10.0</v>
      </c>
      <c r="H27" s="6">
        <v>25.0</v>
      </c>
      <c r="I27" s="6">
        <v>30.0</v>
      </c>
      <c r="J27" s="6">
        <v>20.0</v>
      </c>
      <c r="K27" s="6">
        <v>0.0</v>
      </c>
      <c r="L27" s="6">
        <v>0.0</v>
      </c>
      <c r="M27" s="9">
        <f t="shared" si="1"/>
        <v>2.872766262</v>
      </c>
      <c r="O27" s="5">
        <v>20.0</v>
      </c>
      <c r="P27" s="9" t="s">
        <v>29</v>
      </c>
      <c r="Q27" s="10">
        <v>1.2255E7</v>
      </c>
      <c r="R27" s="10">
        <v>1.0</v>
      </c>
      <c r="S27" s="10">
        <v>19.0</v>
      </c>
      <c r="T27" s="10">
        <v>40.0</v>
      </c>
      <c r="U27" s="10">
        <v>0.0</v>
      </c>
      <c r="V27" s="10">
        <v>80.0</v>
      </c>
      <c r="W27" s="10">
        <v>0.0</v>
      </c>
      <c r="X27" s="10">
        <v>0.0</v>
      </c>
      <c r="Y27" s="10">
        <v>0.0</v>
      </c>
      <c r="Z27" s="9">
        <v>5.531786470408584</v>
      </c>
    </row>
    <row r="28">
      <c r="B28" s="5">
        <v>21.0</v>
      </c>
      <c r="C28" s="3" t="s">
        <v>30</v>
      </c>
      <c r="D28" s="6">
        <v>2.6985E7</v>
      </c>
      <c r="E28" s="7">
        <v>1.0</v>
      </c>
      <c r="F28" s="7">
        <v>10.0</v>
      </c>
      <c r="G28" s="6">
        <v>30.0</v>
      </c>
      <c r="H28" s="6">
        <v>20.0</v>
      </c>
      <c r="I28" s="6">
        <v>0.0</v>
      </c>
      <c r="J28" s="6">
        <v>0.0</v>
      </c>
      <c r="K28" s="6">
        <v>0.0</v>
      </c>
      <c r="L28" s="6">
        <v>0.0</v>
      </c>
      <c r="M28" s="9">
        <f t="shared" si="1"/>
        <v>3.667107365</v>
      </c>
      <c r="O28" s="5">
        <v>21.0</v>
      </c>
      <c r="P28" s="9" t="s">
        <v>31</v>
      </c>
      <c r="Q28" s="10">
        <v>5.458E7</v>
      </c>
      <c r="R28" s="10">
        <v>1.0</v>
      </c>
      <c r="S28" s="10">
        <v>20.0</v>
      </c>
      <c r="T28" s="10">
        <v>40.0</v>
      </c>
      <c r="U28" s="10">
        <v>10.0</v>
      </c>
      <c r="V28" s="10">
        <v>0.0</v>
      </c>
      <c r="W28" s="10">
        <v>0.0</v>
      </c>
      <c r="X28" s="10">
        <v>10.0</v>
      </c>
      <c r="Y28" s="10">
        <v>60.0</v>
      </c>
      <c r="Z28" s="9">
        <v>5.535085841164581</v>
      </c>
    </row>
    <row r="29">
      <c r="D29" s="10"/>
      <c r="E29" s="10"/>
      <c r="F29" s="10"/>
      <c r="G29" s="10"/>
      <c r="H29" s="10"/>
      <c r="I29" s="10"/>
      <c r="J29" s="10"/>
      <c r="K29" s="10"/>
      <c r="L29" s="10"/>
    </row>
    <row r="30">
      <c r="C30" s="2" t="s">
        <v>34</v>
      </c>
      <c r="D30" s="7">
        <v>3.0</v>
      </c>
      <c r="E30" s="7">
        <v>0.0</v>
      </c>
      <c r="F30" s="7">
        <v>3.0</v>
      </c>
      <c r="G30" s="7">
        <v>5.0</v>
      </c>
      <c r="H30" s="7">
        <v>10.0</v>
      </c>
      <c r="I30" s="7">
        <v>0.0</v>
      </c>
      <c r="J30" s="7">
        <v>0.0</v>
      </c>
      <c r="K30" s="7">
        <v>0.0</v>
      </c>
      <c r="L30" s="7">
        <v>0.0</v>
      </c>
    </row>
    <row r="31">
      <c r="F31" s="2" t="s">
        <v>35</v>
      </c>
      <c r="G31" s="5">
        <v>1.0</v>
      </c>
    </row>
    <row r="32">
      <c r="R32" s="9">
        <f t="shared" ref="R32:W32" si="2">(IF(G$30=0,0,IF(G$30=5,G8/10,IF(G$30&lt;5,IF(G8&lt;50,abs(G$30-G8/10),abs(G$30-G8/10)),IF(G8&gt;50,abs(G$30-G8/10),abs(G$30-G8/10))))))</f>
        <v>2.5</v>
      </c>
      <c r="S32" s="9">
        <f t="shared" si="2"/>
        <v>4</v>
      </c>
      <c r="T32" s="9">
        <f t="shared" si="2"/>
        <v>0</v>
      </c>
      <c r="U32" s="9">
        <f t="shared" si="2"/>
        <v>0</v>
      </c>
      <c r="V32" s="9">
        <f t="shared" si="2"/>
        <v>0</v>
      </c>
      <c r="W32" s="9">
        <f t="shared" si="2"/>
        <v>0</v>
      </c>
    </row>
    <row r="33">
      <c r="R33" s="9">
        <f t="shared" ref="R33:W33" si="3">(IF(G$30=0,0,IF(G$30=5,G9/10,IF(G$30&lt;5,IF(G9&lt;50,abs(G$30-G9/10),abs(G$30-G9/10)),IF(G9&gt;50,abs(G$30-G9/10),abs(G$30-G9/10))))))</f>
        <v>2.5</v>
      </c>
      <c r="S33" s="9">
        <f t="shared" si="3"/>
        <v>9</v>
      </c>
      <c r="T33" s="9">
        <f t="shared" si="3"/>
        <v>0</v>
      </c>
      <c r="U33" s="9">
        <f t="shared" si="3"/>
        <v>0</v>
      </c>
      <c r="V33" s="9">
        <f t="shared" si="3"/>
        <v>0</v>
      </c>
      <c r="W33" s="9">
        <f t="shared" si="3"/>
        <v>0</v>
      </c>
    </row>
    <row r="34">
      <c r="R34" s="9">
        <f t="shared" ref="R34:W34" si="4">(IF(G$30=0,0,IF(G$30=5,G10/10,IF(G$30&lt;5,IF(G10&lt;50,abs(G$30-G10/10),abs(G$30-G10/10)),IF(G10&gt;50,abs(G$30-G10/10),abs(G$30-G10/10))))))</f>
        <v>2</v>
      </c>
      <c r="S34" s="9">
        <f t="shared" si="4"/>
        <v>10</v>
      </c>
      <c r="T34" s="9">
        <f t="shared" si="4"/>
        <v>0</v>
      </c>
      <c r="U34" s="9">
        <f t="shared" si="4"/>
        <v>0</v>
      </c>
      <c r="V34" s="9">
        <f t="shared" si="4"/>
        <v>0</v>
      </c>
      <c r="W34" s="9">
        <f t="shared" si="4"/>
        <v>0</v>
      </c>
    </row>
    <row r="35">
      <c r="R35" s="9">
        <f t="shared" ref="R35:W35" si="5">(IF(G$30=0,0,IF(G$30=5,G11/10,IF(G$30&lt;5,IF(G11&lt;50,abs(G$30-G11/10),abs(G$30-G11/10)),IF(G11&gt;50,abs(G$30-G11/10),abs(G$30-G11/10))))))</f>
        <v>0</v>
      </c>
      <c r="S35" s="9">
        <f t="shared" si="5"/>
        <v>8</v>
      </c>
      <c r="T35" s="9">
        <f t="shared" si="5"/>
        <v>0</v>
      </c>
      <c r="U35" s="9">
        <f t="shared" si="5"/>
        <v>0</v>
      </c>
      <c r="V35" s="9">
        <f t="shared" si="5"/>
        <v>0</v>
      </c>
      <c r="W35" s="9">
        <f t="shared" si="5"/>
        <v>0</v>
      </c>
    </row>
    <row r="36">
      <c r="R36" s="9">
        <f t="shared" ref="R36:W36" si="6">(IF(G$30=0,0,IF(G$30=5,G12/10,IF(G$30&lt;5,IF(G12&lt;50,abs(G$30-G12/10),abs(G$30-G12/10)),IF(G12&gt;50,abs(G$30-G12/10),abs(G$30-G12/10))))))</f>
        <v>2</v>
      </c>
      <c r="S36" s="9">
        <f t="shared" si="6"/>
        <v>8</v>
      </c>
      <c r="T36" s="9">
        <f t="shared" si="6"/>
        <v>0</v>
      </c>
      <c r="U36" s="9">
        <f t="shared" si="6"/>
        <v>0</v>
      </c>
      <c r="V36" s="9">
        <f t="shared" si="6"/>
        <v>0</v>
      </c>
      <c r="W36" s="9">
        <f t="shared" si="6"/>
        <v>0</v>
      </c>
    </row>
    <row r="37">
      <c r="R37" s="9">
        <f t="shared" ref="R37:W37" si="7">(IF(G$30=0,0,IF(G$30=5,G13/10,IF(G$30&lt;5,IF(G13&lt;50,abs(G$30-G13/10),abs(G$30-G13/10)),IF(G13&gt;50,abs(G$30-G13/10),abs(G$30-G13/10))))))</f>
        <v>3.5</v>
      </c>
      <c r="S37" s="9">
        <f t="shared" si="7"/>
        <v>10</v>
      </c>
      <c r="T37" s="9">
        <f t="shared" si="7"/>
        <v>0</v>
      </c>
      <c r="U37" s="9">
        <f t="shared" si="7"/>
        <v>0</v>
      </c>
      <c r="V37" s="9">
        <f t="shared" si="7"/>
        <v>0</v>
      </c>
      <c r="W37" s="9">
        <f t="shared" si="7"/>
        <v>0</v>
      </c>
    </row>
    <row r="38">
      <c r="R38" s="9">
        <f t="shared" ref="R38:W38" si="8">(IF(G$30=0,0,IF(G$30=5,G14/10,IF(G$30&lt;5,IF(G14&lt;50,abs(G$30-G14/10),abs(G$30-G14/10)),IF(G14&gt;50,abs(G$30-G14/10),abs(G$30-G14/10))))))</f>
        <v>2</v>
      </c>
      <c r="S38" s="9">
        <f t="shared" si="8"/>
        <v>10</v>
      </c>
      <c r="T38" s="9">
        <f t="shared" si="8"/>
        <v>0</v>
      </c>
      <c r="U38" s="9">
        <f t="shared" si="8"/>
        <v>0</v>
      </c>
      <c r="V38" s="9">
        <f t="shared" si="8"/>
        <v>0</v>
      </c>
      <c r="W38" s="9">
        <f t="shared" si="8"/>
        <v>0</v>
      </c>
    </row>
    <row r="39">
      <c r="R39" s="9">
        <f t="shared" ref="R39:W39" si="9">(IF(G$30=0,0,IF(G$30=5,G15/10,IF(G$30&lt;5,IF(G15&lt;50,abs(G$30-G15/10),abs(G$30-G15/10)),IF(G15&gt;50,abs(G$30-G15/10),abs(G$30-G15/10))))))</f>
        <v>0</v>
      </c>
      <c r="S39" s="9">
        <f t="shared" si="9"/>
        <v>7</v>
      </c>
      <c r="T39" s="9">
        <f t="shared" si="9"/>
        <v>0</v>
      </c>
      <c r="U39" s="9">
        <f t="shared" si="9"/>
        <v>0</v>
      </c>
      <c r="V39" s="9">
        <f t="shared" si="9"/>
        <v>0</v>
      </c>
      <c r="W39" s="9">
        <f t="shared" si="9"/>
        <v>0</v>
      </c>
    </row>
    <row r="40">
      <c r="R40" s="9">
        <f t="shared" ref="R40:W40" si="10">(IF(G$30=0,0,IF(G$30=5,G16/10,IF(G$30&lt;5,IF(G16&lt;50,abs(G$30-G16/10),abs(G$30-G16/10)),IF(G16&gt;50,abs(G$30-G16/10),abs(G$30-G16/10))))))</f>
        <v>1.5</v>
      </c>
      <c r="S40" s="9">
        <f t="shared" si="10"/>
        <v>8</v>
      </c>
      <c r="T40" s="9">
        <f t="shared" si="10"/>
        <v>0</v>
      </c>
      <c r="U40" s="9">
        <f t="shared" si="10"/>
        <v>0</v>
      </c>
      <c r="V40" s="9">
        <f t="shared" si="10"/>
        <v>0</v>
      </c>
      <c r="W40" s="9">
        <f t="shared" si="10"/>
        <v>0</v>
      </c>
    </row>
    <row r="41">
      <c r="R41" s="9">
        <f t="shared" ref="R41:W41" si="11">(IF(G$30=0,0,IF(G$30=5,G17/10,IF(G$30&lt;5,IF(G17&lt;50,abs(G$30-G17/10),abs(G$30-G17/10)),IF(G17&gt;50,abs(G$30-G17/10),abs(G$30-G17/10))))))</f>
        <v>1</v>
      </c>
      <c r="S41" s="9">
        <f t="shared" si="11"/>
        <v>5</v>
      </c>
      <c r="T41" s="9">
        <f t="shared" si="11"/>
        <v>0</v>
      </c>
      <c r="U41" s="9">
        <f t="shared" si="11"/>
        <v>0</v>
      </c>
      <c r="V41" s="9">
        <f t="shared" si="11"/>
        <v>0</v>
      </c>
      <c r="W41" s="9">
        <f t="shared" si="11"/>
        <v>0</v>
      </c>
    </row>
    <row r="42">
      <c r="R42" s="9">
        <f t="shared" ref="R42:W42" si="12">(IF(G$30=0,0,IF(G$30=5,G18/10,IF(G$30&lt;5,IF(G18&lt;50,abs(G$30-G18/10),abs(G$30-G18/10)),IF(G18&gt;50,abs(G$30-G18/10),abs(G$30-G18/10))))))</f>
        <v>2</v>
      </c>
      <c r="S42" s="9">
        <f t="shared" si="12"/>
        <v>8</v>
      </c>
      <c r="T42" s="9">
        <f t="shared" si="12"/>
        <v>0</v>
      </c>
      <c r="U42" s="9">
        <f t="shared" si="12"/>
        <v>0</v>
      </c>
      <c r="V42" s="9">
        <f t="shared" si="12"/>
        <v>0</v>
      </c>
      <c r="W42" s="9">
        <f t="shared" si="12"/>
        <v>0</v>
      </c>
    </row>
    <row r="43">
      <c r="R43" s="9">
        <f t="shared" ref="R43:W43" si="13">(IF(G$30=0,0,IF(G$30=5,G19/10,IF(G$30&lt;5,IF(G19&lt;50,abs(G$30-G19/10),abs(G$30-G19/10)),IF(G19&gt;50,abs(G$30-G19/10),abs(G$30-G19/10))))))</f>
        <v>4</v>
      </c>
      <c r="S43" s="9">
        <f t="shared" si="13"/>
        <v>10</v>
      </c>
      <c r="T43" s="9">
        <f t="shared" si="13"/>
        <v>0</v>
      </c>
      <c r="U43" s="9">
        <f t="shared" si="13"/>
        <v>0</v>
      </c>
      <c r="V43" s="9">
        <f t="shared" si="13"/>
        <v>0</v>
      </c>
      <c r="W43" s="9">
        <f t="shared" si="13"/>
        <v>0</v>
      </c>
    </row>
    <row r="44">
      <c r="R44" s="9">
        <f t="shared" ref="R44:W44" si="14">(IF(G$30=0,0,IF(G$30=5,G20/10,IF(G$30&lt;5,IF(G20&lt;50,abs(G$30-G20/10),abs(G$30-G20/10)),IF(G20&gt;50,abs(G$30-G20/10),abs(G$30-G20/10))))))</f>
        <v>2.5</v>
      </c>
      <c r="S44" s="9">
        <f t="shared" si="14"/>
        <v>2.5</v>
      </c>
      <c r="T44" s="9">
        <f t="shared" si="14"/>
        <v>0</v>
      </c>
      <c r="U44" s="9">
        <f t="shared" si="14"/>
        <v>0</v>
      </c>
      <c r="V44" s="9">
        <f t="shared" si="14"/>
        <v>0</v>
      </c>
      <c r="W44" s="9">
        <f t="shared" si="14"/>
        <v>0</v>
      </c>
    </row>
    <row r="45">
      <c r="R45" s="9">
        <f t="shared" ref="R45:W45" si="15">(IF(G$30=0,0,IF(G$30=5,G21/10,IF(G$30&lt;5,IF(G21&lt;50,abs(G$30-G21/10),abs(G$30-G21/10)),IF(G21&gt;50,abs(G$30-G21/10),abs(G$30-G21/10))))))</f>
        <v>1.5</v>
      </c>
      <c r="S45" s="9">
        <f t="shared" si="15"/>
        <v>5</v>
      </c>
      <c r="T45" s="9">
        <f t="shared" si="15"/>
        <v>0</v>
      </c>
      <c r="U45" s="9">
        <f t="shared" si="15"/>
        <v>0</v>
      </c>
      <c r="V45" s="9">
        <f t="shared" si="15"/>
        <v>0</v>
      </c>
      <c r="W45" s="9">
        <f t="shared" si="15"/>
        <v>0</v>
      </c>
    </row>
    <row r="46">
      <c r="R46" s="9">
        <f t="shared" ref="R46:W46" si="16">(IF(G$30=0,0,IF(G$30=5,G22/10,IF(G$30&lt;5,IF(G22&lt;50,abs(G$30-G22/10),abs(G$30-G22/10)),IF(G22&gt;50,abs(G$30-G22/10),abs(G$30-G22/10))))))</f>
        <v>4</v>
      </c>
      <c r="S46" s="9">
        <f t="shared" si="16"/>
        <v>9</v>
      </c>
      <c r="T46" s="9">
        <f t="shared" si="16"/>
        <v>0</v>
      </c>
      <c r="U46" s="9">
        <f t="shared" si="16"/>
        <v>0</v>
      </c>
      <c r="V46" s="9">
        <f t="shared" si="16"/>
        <v>0</v>
      </c>
      <c r="W46" s="9">
        <f t="shared" si="16"/>
        <v>0</v>
      </c>
    </row>
    <row r="47">
      <c r="R47" s="9">
        <f t="shared" ref="R47:W47" si="17">(IF(G$30=0,0,IF(G$30=5,G23/10,IF(G$30&lt;5,IF(G23&lt;50,abs(G$30-G23/10),abs(G$30-G23/10)),IF(G23&gt;50,abs(G$30-G23/10),abs(G$30-G23/10))))))</f>
        <v>2</v>
      </c>
      <c r="S47" s="9">
        <f t="shared" si="17"/>
        <v>7</v>
      </c>
      <c r="T47" s="9">
        <f t="shared" si="17"/>
        <v>0</v>
      </c>
      <c r="U47" s="9">
        <f t="shared" si="17"/>
        <v>0</v>
      </c>
      <c r="V47" s="9">
        <f t="shared" si="17"/>
        <v>0</v>
      </c>
      <c r="W47" s="9">
        <f t="shared" si="17"/>
        <v>0</v>
      </c>
    </row>
    <row r="48">
      <c r="R48" s="9">
        <f t="shared" ref="R48:W48" si="18">(IF(G$30=0,0,IF(G$30=5,G24/10,IF(G$30&lt;5,IF(G24&lt;50,abs(G$30-G24/10),abs(G$30-G24/10)),IF(G24&gt;50,abs(G$30-G24/10),abs(G$30-G24/10))))))</f>
        <v>6</v>
      </c>
      <c r="S48" s="9">
        <f t="shared" si="18"/>
        <v>10</v>
      </c>
      <c r="T48" s="9">
        <f t="shared" si="18"/>
        <v>0</v>
      </c>
      <c r="U48" s="9">
        <f t="shared" si="18"/>
        <v>0</v>
      </c>
      <c r="V48" s="9">
        <f t="shared" si="18"/>
        <v>0</v>
      </c>
      <c r="W48" s="9">
        <f t="shared" si="18"/>
        <v>0</v>
      </c>
    </row>
    <row r="49">
      <c r="R49" s="9">
        <f t="shared" ref="R49:W49" si="19">(IF(G$30=0,0,IF(G$30=5,G25/10,IF(G$30&lt;5,IF(G25&lt;50,abs(G$30-G25/10),abs(G$30-G25/10)),IF(G25&gt;50,abs(G$30-G25/10),abs(G$30-G25/10))))))</f>
        <v>8</v>
      </c>
      <c r="S49" s="9">
        <f t="shared" si="19"/>
        <v>9</v>
      </c>
      <c r="T49" s="9">
        <f t="shared" si="19"/>
        <v>0</v>
      </c>
      <c r="U49" s="9">
        <f t="shared" si="19"/>
        <v>0</v>
      </c>
      <c r="V49" s="9">
        <f t="shared" si="19"/>
        <v>0</v>
      </c>
      <c r="W49" s="9">
        <f t="shared" si="19"/>
        <v>0</v>
      </c>
    </row>
    <row r="50">
      <c r="R50" s="9">
        <f t="shared" ref="R50:W50" si="20">(IF(G$30=0,0,IF(G$30=5,G26/10,IF(G$30&lt;5,IF(G26&lt;50,abs(G$30-G26/10),abs(G$30-G26/10)),IF(G26&gt;50,abs(G$30-G26/10),abs(G$30-G26/10))))))</f>
        <v>3</v>
      </c>
      <c r="S50" s="9">
        <f t="shared" si="20"/>
        <v>6</v>
      </c>
      <c r="T50" s="9">
        <f t="shared" si="20"/>
        <v>0</v>
      </c>
      <c r="U50" s="9">
        <f t="shared" si="20"/>
        <v>0</v>
      </c>
      <c r="V50" s="9">
        <f t="shared" si="20"/>
        <v>0</v>
      </c>
      <c r="W50" s="9">
        <f t="shared" si="20"/>
        <v>0</v>
      </c>
    </row>
    <row r="51">
      <c r="R51" s="9">
        <f t="shared" ref="R51:W51" si="21">(IF(G$30=0,0,IF(G$30=5,G27/10,IF(G$30&lt;5,IF(G27&lt;50,abs(G$30-G27/10),abs(G$30-G27/10)),IF(G27&gt;50,abs(G$30-G27/10),abs(G$30-G27/10))))))</f>
        <v>1</v>
      </c>
      <c r="S51" s="9">
        <f t="shared" si="21"/>
        <v>7.5</v>
      </c>
      <c r="T51" s="9">
        <f t="shared" si="21"/>
        <v>0</v>
      </c>
      <c r="U51" s="9">
        <f t="shared" si="21"/>
        <v>0</v>
      </c>
      <c r="V51" s="9">
        <f t="shared" si="21"/>
        <v>0</v>
      </c>
      <c r="W51" s="9">
        <f t="shared" si="21"/>
        <v>0</v>
      </c>
    </row>
    <row r="52">
      <c r="R52" s="9">
        <f t="shared" ref="R52:W52" si="22">(IF(G$30=0,0,IF(G$30=5,G28/10,IF(G$30&lt;5,IF(G28&lt;50,abs(G$30-G28/10),abs(G$30-G28/10)),IF(G28&gt;50,abs(G$30-G28/10),abs(G$30-G28/10))))))</f>
        <v>3</v>
      </c>
      <c r="S52" s="9">
        <f t="shared" si="22"/>
        <v>8</v>
      </c>
      <c r="T52" s="9">
        <f t="shared" si="22"/>
        <v>0</v>
      </c>
      <c r="U52" s="9">
        <f t="shared" si="22"/>
        <v>0</v>
      </c>
      <c r="V52" s="9">
        <f t="shared" si="22"/>
        <v>0</v>
      </c>
      <c r="W52" s="9">
        <f t="shared" si="22"/>
        <v>0</v>
      </c>
    </row>
  </sheetData>
  <mergeCells count="1">
    <mergeCell ref="G6:L6"/>
  </mergeCells>
  <drawing r:id="rId1"/>
</worksheet>
</file>